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Hardware" sheetId="3" state="visible" r:id="rId5"/>
    <sheet name="PerfFactors" sheetId="4" state="visible" r:id="rId6"/>
    <sheet name="Inputs" sheetId="5" state="visible" r:id="rId7"/>
    <sheet name="Engine" sheetId="6" state="visible" r:id="rId8"/>
    <sheet name="Results" sheetId="7" state="visible" r:id="rId9"/>
    <sheet name="Validati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<sst xmlns="http://schemas.openxmlformats.org/spreadsheetml/2006/main" count="305" uniqueCount="286">
  <si>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</si>
  <si>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</si>
  <si>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</si>
  <si>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</si>
  <si>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</si>
  <si>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</si>
  <si>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</si>
  <si>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</si>
  <si>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</si>
  <si>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</si>
  <si>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</si>
  <si>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</si>
  <si>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</si>
  <si>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</si>
  <si>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</si>
  <si>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</si>
  <si>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</si>
  <si>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</si>
  <si>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</si>
  <si>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</si>
  <si>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</si>
  <si>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</si>
  <si>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</si>
  <si>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</t>
  </si>
  <si>
    <t xml:space="preserve">p6-b200.48xlarge class; NVIDIA TCO tool</t>
  </si>
  <si>
    <t xml:space="preserve">Instance rate, 1-yr reserved ($/instance-hr)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</si>
  <si>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</si>
  <si>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</si>
  <si>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</si>
  <si>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</si>
  <si>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</si>
  <si>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</si>
  <si>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</si>
  <si>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</si>
  <si>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</si>
  <si>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</si>
  <si>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</si>
  <si>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</si>
  <si>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</si>
  <si>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</si>
  <si>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</si>
  <si>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</si>
  <si>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</si>
  <si>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</si>
  <si>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</si>
  <si>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</si>
  <si>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</si>
  <si>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</si>
  <si>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</si>
  <si>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</si>
  <si>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</si>
  <si>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</si>
  <si>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</si>
  <si>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</si>
  <si>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</si>
  <si>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</si>
  <si>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</si>
  <si>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</si>
  <si>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</si>
  <si>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</si>
  <si>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</si>
  <si>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</si>
  <si>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</si>
  <si>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</si>
  <si>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</si>
  <si>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</si>
  <si>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</si>
  <si>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</si>
  <si>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</si>
  <si>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</si>
  <si>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On-Prem System Registry — add rows as new systems are priced (blue = editable)</t>
  </si>
  <si>
    <t xml:space="preserve">System</t>
  </si>
  <si>
    <t xml:space="preserve">GPUs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</si>
  <si>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</si>
  <si>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</si>
  <si>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</si>
  <si>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</si>
  <si>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</si>
  <si>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avg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</si>
  <si>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</si>
  <si>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</si>
  <si>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</si>
  <si>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</si>
  <si>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</si>
  <si>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</si>
  <si>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</si>
  <si>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</si>
  <si>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</si>
  <si>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</si>
  <si>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</si>
  <si>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</si>
  <si>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A100</t>
  </si>
  <si>
    <t xml:space="preserve">H100</t>
  </si>
  <si>
    <t xml:space="preserve">H200</t>
  </si>
  <si>
    <t xml:space="preserve">B200/B300-class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</si>
  <si>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</si>
  <si>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</si>
  <si>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</si>
  <si>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</si>
  <si>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</si>
  <si>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</si>
  <si>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</si>
  <si>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</si>
  <si>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</si>
  <si>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</si>
  <si>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</si>
  <si>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</si>
  <si>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</si>
  <si>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</si>
  <si>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</si>
  <si>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</si>
  <si>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Their approximate all-in monthly AI bill. Example default = NVIDIA Test 1.</t>
  </si>
  <si>
    <t xml:space="preserve">Primary provider</t>
  </si>
  <si>
    <t xml:space="preserve">AWS</t>
  </si>
  <si>
    <t xml:space="preserve">AWS / Azure / GCP / OCI / CoreWeave. v1 rate card is AWS-class; extend RateCard for others.</t>
  </si>
  <si>
    <t xml:space="preserve">TIER 2 — refine when known (defaults otherwise)</t>
  </si>
  <si>
    <t xml:space="preserve">Current cloud GPU class</t>
  </si>
  <si>
    <t xml:space="preserve">Must match a PerfFactors row: A100 / H100 / H200 / B200/B300-class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</si>
  <si>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</si>
  <si>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</si>
  <si>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</si>
  <si>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</si>
  <si>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</si>
  <si>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If unknown, leave default; refine at Tier 3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</si>
  <si>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</si>
  <si>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</si>
  <si>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</si>
  <si>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</si>
  <si>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</si>
  <si>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</si>
  <si>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</si>
  <si>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</si>
  <si>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</si>
  <si>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</si>
  <si>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</si>
  <si>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</si>
  <si>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</si>
  <si>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</si>
  <si>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</si>
  <si>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</si>
  <si>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</si>
  <si>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</si>
  <si>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</si>
  <si>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</si>
  <si>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</si>
  <si>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</si>
  <si>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</si>
  <si>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</si>
  <si>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</si>
  <si>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</si>
  <si>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</si>
  <si>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</si>
  <si>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</si>
  <si>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Used only when a factor is entered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</si>
  <si>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</si>
  <si>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</si>
  <si>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</si>
  <si>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</si>
  <si>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</si>
  <si>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</si>
  <si>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</si>
  <si>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</si>
  <si>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</si>
  <si>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</si>
  <si>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</si>
  <si>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</si>
  <si>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</si>
  <si>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</si>
  <si>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</si>
  <si>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Commitment-mix weighted, incl. NVAIE support and PaaS uplift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</si>
  <si>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</si>
  <si>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</si>
  <si>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</si>
  <si>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</si>
  <si>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</si>
  <si>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</si>
  <si>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</si>
  <si>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Training share x training PF + inference share x inference PF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</si>
  <si>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</si>
  <si>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</si>
  <si>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</si>
  <si>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</si>
  <si>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</si>
  <si>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</si>
  <si>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</si>
  <si>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</si>
  <si>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</si>
  <si>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</si>
  <si>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</si>
  <si>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</si>
  <si>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Idle capacity = free growth runway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</si>
  <si>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</si>
  <si>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</si>
  <si>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</si>
  <si>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</si>
  <si>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</si>
  <si>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</si>
  <si>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</si>
  <si>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</si>
  <si>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System + SW suite + 3 fabrics + professional services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</si>
  <si>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</si>
  <si>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</si>
  <si>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</si>
  <si>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</si>
  <si>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</si>
  <si>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</si>
  <si>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</si>
  <si>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</si>
  <si>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</si>
  <si>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</si>
  <si>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</si>
  <si>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</si>
  <si>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</si>
  <si>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</si>
  <si>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</si>
  <si>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</si>
  <si>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</si>
  <si>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</si>
  <si>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</si>
  <si>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</si>
  <si>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</si>
  <si>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</si>
  <si>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</si>
  <si>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</si>
  <si>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monthly, adjusted case ($/mo)</t>
  </si>
  <si>
    <t xml:space="preserve">Capex x day-of factor</t>
  </si>
  <si>
    <t xml:space="preserve">Lease monthly, floor case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</si>
  <si>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</si>
  <si>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</si>
  <si>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</si>
  <si>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</si>
  <si>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Systems + storage capex only</t>
  </si>
  <si>
    <t xml:space="preserve">Residual credit at horizon, floor ($)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</si>
  <si>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</si>
  <si>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</si>
  <si>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</si>
  <si>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</si>
  <si>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</si>
  <si>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</si>
  <si>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</si>
  <si>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</si>
  <si>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</si>
  <si>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</si>
  <si>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</si>
  <si>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</si>
  <si>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</si>
  <si>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</si>
  <si>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</si>
  <si>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</si>
  <si>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</si>
  <si>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</si>
  <si>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</si>
  <si>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</si>
  <si>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</si>
  <si>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</si>
  <si>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</si>
  <si>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</si>
  <si>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</si>
  <si>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(%)</t>
  </si>
  <si>
    <t xml:space="preserve">Years until growth exhausts headroom</t>
  </si>
  <si>
    <t xml:space="preserve">Cloud egress + storage cost that disappears on-prem ($/mo)</t>
  </si>
  <si>
    <t xml:space="preserve">Simple payback, adjusted (months, capex + one-time vs current bill)</t>
  </si>
  <si>
    <t xml:space="preserve">Lease view, adjusted ($/mo, if factor entered)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</si>
  <si>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</si>
  <si>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1% (small deltas = NVIDIA's 4% ops growth compounding inside 3-yr totals).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</si>
  <si>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</si>
  <si>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</si>
  <si>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</si>
  <si>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</si>
  <si>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</si>
  <si>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</si>
  <si>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</si>
  <si>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</si>
  <si>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</si>
  <si>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</si>
  <si>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</si>
  <si>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</si>
  <si>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</si>
  <si>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</si>
  <si>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</si>
  <si>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</si>
  <si>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</si>
  <si>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</si>
  <si>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</si>
  <si>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</si>
  <si>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All rows must read PASS before customer use. If a rate card value changes, expected values here describe the NVIDIA tool snapshot, not your new reality — they exist to prove the formula logic, not to freeze prices.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</si>
</sst>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  <numFmt numFmtId="173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19</v>
      </c>
      <c r="B1" s="5" t="s">
        <v>20</v>
      </c>
      <c r="C1" s="5" t="s">
        <v>21</v>
      </c>
    </row>
    <row r="3" customFormat="false" ht="15" hidden="false" customHeight="true" outlineLevel="0" collapsed="false">
      <c r="A3" s="6" t="s">
        <v>22</v>
      </c>
    </row>
    <row r="4" customFormat="false" ht="15" hidden="false" customHeight="true" outlineLevel="0" collapsed="false">
      <c r="A4" s="3" t="s">
        <v>23</v>
      </c>
      <c r="B4" s="7" t="n">
        <v>113.93</v>
      </c>
      <c r="C4" s="3" t="s">
        <v>24</v>
      </c>
    </row>
    <row r="5" customFormat="false" ht="15" hidden="false" customHeight="true" outlineLevel="0" collapsed="false">
      <c r="A5" s="3" t="s">
        <v>25</v>
      </c>
      <c r="B5" s="7" t="n">
        <v>68.36</v>
      </c>
      <c r="C5" s="3" t="s">
        <v>26</v>
      </c>
    </row>
    <row r="6" customFormat="false" ht="15" hidden="false" customHeight="true" outlineLevel="0" collapsed="false">
      <c r="A6" s="3" t="s">
        <v>27</v>
      </c>
      <c r="B6" s="7" t="n">
        <v>8</v>
      </c>
      <c r="C6" s="3" t="s">
        <v>26</v>
      </c>
    </row>
    <row r="7" customFormat="false" ht="15" hidden="false" customHeight="true" outlineLevel="0" collapsed="false">
      <c r="A7" s="3" t="s">
        <v>28</v>
      </c>
      <c r="B7" s="7" t="n">
        <v>2.88</v>
      </c>
      <c r="C7" s="3" t="s">
        <v>26</v>
      </c>
    </row>
    <row r="8" customFormat="false" ht="15" hidden="false" customHeight="true" outlineLevel="0" collapsed="false">
      <c r="A8" s="3" t="s">
        <v>29</v>
      </c>
      <c r="B8" s="7" t="n">
        <v>0.14</v>
      </c>
      <c r="C8" s="3" t="s">
        <v>30</v>
      </c>
    </row>
    <row r="9" customFormat="false" ht="15" hidden="false" customHeight="true" outlineLevel="0" collapsed="false">
      <c r="A9" s="3" t="s">
        <v>31</v>
      </c>
      <c r="B9" s="7" t="n">
        <v>0.02</v>
      </c>
      <c r="C9" s="3" t="s">
        <v>32</v>
      </c>
    </row>
    <row r="10" customFormat="false" ht="15" hidden="false" customHeight="true" outlineLevel="0" collapsed="false">
      <c r="A10" s="3" t="s">
        <v>33</v>
      </c>
      <c r="B10" s="7" t="n">
        <v>0.05</v>
      </c>
      <c r="C10" s="3"/>
    </row>
    <row r="11" customFormat="false" ht="15" hidden="false" customHeight="true" outlineLevel="0" collapsed="false">
      <c r="A11" s="3" t="s">
        <v>34</v>
      </c>
      <c r="B11" s="8" t="n">
        <v>0.05</v>
      </c>
      <c r="C11" s="3" t="s">
        <v>35</v>
      </c>
    </row>
    <row r="12" customFormat="false" ht="15" hidden="false" customHeight="true" outlineLevel="0" collapsed="false">
      <c r="A12" s="3" t="s">
        <v>36</v>
      </c>
      <c r="B12" s="9" t="n">
        <v>189000</v>
      </c>
      <c r="C12" s="3"/>
    </row>
    <row r="13" customFormat="false" ht="15" hidden="false" customHeight="true" outlineLevel="0" collapsed="false">
      <c r="A13" s="3" t="s">
        <v>37</v>
      </c>
      <c r="B13" s="9" t="n">
        <v>5000</v>
      </c>
      <c r="C13" s="3"/>
    </row>
    <row r="14" customFormat="false" ht="15" hidden="false" customHeight="true" outlineLevel="0" collapsed="false">
      <c r="A14" s="3" t="s">
        <v>38</v>
      </c>
      <c r="B14" s="10" t="n">
        <v>0.01</v>
      </c>
      <c r="C14" s="3" t="s">
        <v>39</v>
      </c>
    </row>
    <row r="15" customFormat="false" ht="15" hidden="false" customHeight="true" outlineLevel="0" collapsed="false">
      <c r="A15" s="3" t="s">
        <v>40</v>
      </c>
      <c r="B15" s="8" t="n">
        <v>0</v>
      </c>
      <c r="C15" s="3" t="s">
        <v>41</v>
      </c>
    </row>
    <row r="16" customFormat="false" ht="15" hidden="false" customHeight="true" outlineLevel="0" collapsed="false">
      <c r="A16" s="3" t="s">
        <v>42</v>
      </c>
      <c r="B16" s="11" t="n">
        <v>8</v>
      </c>
      <c r="C16" s="3"/>
    </row>
    <row r="18" customFormat="false" ht="15" hidden="false" customHeight="true" outlineLevel="0" collapsed="false">
      <c r="A18" s="6" t="s">
        <v>43</v>
      </c>
    </row>
    <row r="19" customFormat="false" ht="15" hidden="false" customHeight="true" outlineLevel="0" collapsed="false">
      <c r="A19" s="3" t="s">
        <v>44</v>
      </c>
      <c r="B19" s="9" t="n">
        <v>600000</v>
      </c>
      <c r="C19" s="3" t="s">
        <v>45</v>
      </c>
    </row>
    <row r="20" customFormat="false" ht="15" hidden="false" customHeight="true" outlineLevel="0" collapsed="false">
      <c r="A20" s="3" t="s">
        <v>46</v>
      </c>
      <c r="B20" s="9" t="n">
        <v>25000</v>
      </c>
      <c r="C20" s="3"/>
    </row>
    <row r="21" customFormat="false" ht="15" hidden="false" customHeight="true" outlineLevel="0" collapsed="false">
      <c r="A21" s="3" t="s">
        <v>47</v>
      </c>
      <c r="B21" s="9" t="n">
        <v>15000</v>
      </c>
      <c r="C21" s="3" t="s">
        <v>48</v>
      </c>
    </row>
    <row r="22" customFormat="false" ht="15" hidden="false" customHeight="true" outlineLevel="0" collapsed="false">
      <c r="A22" s="3" t="s">
        <v>49</v>
      </c>
      <c r="B22" s="9" t="n">
        <v>1200000</v>
      </c>
      <c r="C22" s="3" t="s">
        <v>50</v>
      </c>
    </row>
    <row r="23" customFormat="false" ht="15" hidden="false" customHeight="true" outlineLevel="0" collapsed="false">
      <c r="A23" s="3" t="s">
        <v>51</v>
      </c>
      <c r="B23" s="9" t="n">
        <v>100000</v>
      </c>
      <c r="C23" s="3"/>
    </row>
    <row r="24" customFormat="false" ht="15" hidden="false" customHeight="true" outlineLevel="0" collapsed="false">
      <c r="A24" s="3" t="s">
        <v>52</v>
      </c>
      <c r="B24" s="9" t="n">
        <v>500000</v>
      </c>
      <c r="C24" s="3" t="s">
        <v>50</v>
      </c>
    </row>
    <row r="25" customFormat="false" ht="15" hidden="false" customHeight="true" outlineLevel="0" collapsed="false">
      <c r="A25" s="3" t="s">
        <v>53</v>
      </c>
      <c r="B25" s="9" t="n">
        <v>33333</v>
      </c>
      <c r="C25" s="3"/>
    </row>
    <row r="26" customFormat="false" ht="15" hidden="false" customHeight="true" outlineLevel="0" collapsed="false">
      <c r="A26" s="3" t="s">
        <v>54</v>
      </c>
      <c r="B26" s="12" t="n">
        <v>10</v>
      </c>
      <c r="C26" s="3"/>
    </row>
    <row r="27" customFormat="false" ht="15" hidden="false" customHeight="true" outlineLevel="0" collapsed="false">
      <c r="A27" s="3" t="s">
        <v>55</v>
      </c>
      <c r="B27" s="12" t="n">
        <v>1</v>
      </c>
      <c r="C27" s="3" t="s">
        <v>56</v>
      </c>
    </row>
    <row r="28" customFormat="false" ht="15" hidden="false" customHeight="true" outlineLevel="0" collapsed="false">
      <c r="A28" s="3" t="s">
        <v>57</v>
      </c>
      <c r="B28" s="9" t="n">
        <v>300</v>
      </c>
      <c r="C28" s="3" t="s">
        <v>58</v>
      </c>
    </row>
    <row r="29" customFormat="false" ht="15" hidden="false" customHeight="true" outlineLevel="0" collapsed="false">
      <c r="A29" s="3" t="s">
        <v>59</v>
      </c>
      <c r="B29" s="9" t="n">
        <v>3000</v>
      </c>
      <c r="C29" s="3"/>
    </row>
    <row r="30" customFormat="false" ht="15" hidden="false" customHeight="true" outlineLevel="0" collapsed="false">
      <c r="A30" s="3" t="s">
        <v>60</v>
      </c>
      <c r="B30" s="9" t="n">
        <v>2000</v>
      </c>
      <c r="C30" s="3"/>
    </row>
    <row r="31" customFormat="false" ht="15" hidden="false" customHeight="true" outlineLevel="0" collapsed="false">
      <c r="A31" s="3" t="s">
        <v>61</v>
      </c>
      <c r="B31" s="11" t="n">
        <v>10</v>
      </c>
      <c r="C31" s="3"/>
    </row>
    <row r="32" customFormat="false" ht="15" hidden="false" customHeight="true" outlineLevel="0" collapsed="false">
      <c r="A32" s="3" t="s">
        <v>62</v>
      </c>
      <c r="B32" s="9" t="n">
        <v>189000</v>
      </c>
      <c r="C32" s="3"/>
    </row>
    <row r="33" customFormat="false" ht="15" hidden="false" customHeight="true" outlineLevel="0" collapsed="false">
      <c r="A33" s="3" t="s">
        <v>63</v>
      </c>
      <c r="B33" s="9" t="n">
        <v>11387</v>
      </c>
      <c r="C33" s="3" t="s">
        <v>64</v>
      </c>
    </row>
    <row r="35" customFormat="false" ht="15" hidden="false" customHeight="true" outlineLevel="0" collapsed="false">
      <c r="A35" s="6" t="s">
        <v>65</v>
      </c>
    </row>
    <row r="36" customFormat="false" ht="15" hidden="false" customHeight="true" outlineLevel="0" collapsed="false">
      <c r="A36" s="3" t="s">
        <v>66</v>
      </c>
      <c r="B36" s="11" t="n">
        <v>730</v>
      </c>
      <c r="C36" s="3" t="s">
        <v>67</v>
      </c>
    </row>
    <row r="37" customFormat="false" ht="15" hidden="false" customHeight="true" outlineLevel="0" collapsed="false">
      <c r="A37" s="3" t="s">
        <v>68</v>
      </c>
      <c r="B37" s="8" t="n">
        <v>0.04</v>
      </c>
      <c r="C37" s="3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70</v>
      </c>
    </row>
    <row r="2" customFormat="false" ht="15" hidden="false" customHeight="true" outlineLevel="0" collapsed="false">
      <c r="A2" s="5" t="s">
        <v>71</v>
      </c>
      <c r="B2" s="5" t="s">
        <v>72</v>
      </c>
      <c r="C2" s="5" t="s">
        <v>73</v>
      </c>
      <c r="D2" s="5" t="s">
        <v>74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 t="s">
        <v>80</v>
      </c>
      <c r="K2" s="5" t="s">
        <v>81</v>
      </c>
    </row>
    <row r="3" customFormat="false" ht="15" hidden="false" customHeight="true" outlineLevel="0" collapsed="false">
      <c r="A3" s="13" t="s">
        <v>82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3" t="n">
        <v>2</v>
      </c>
      <c r="J3" s="13" t="s">
        <v>83</v>
      </c>
      <c r="K3" s="13" t="s">
        <v>84</v>
      </c>
    </row>
    <row r="4" customFormat="false" ht="15" hidden="false" customHeight="true" outlineLevel="0" collapsed="false">
      <c r="A4" s="13" t="s">
        <v>85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0</v>
      </c>
      <c r="I4" s="13" t="n">
        <v>2</v>
      </c>
      <c r="J4" s="13" t="s">
        <v>86</v>
      </c>
      <c r="K4" s="13" t="s">
        <v>87</v>
      </c>
    </row>
    <row r="5" customFormat="false" ht="15" hidden="false" customHeight="true" outlineLevel="0" collapsed="false">
      <c r="A5" s="13" t="s">
        <v>88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0</v>
      </c>
      <c r="I5" s="13" t="n">
        <v>2</v>
      </c>
      <c r="J5" s="13" t="s">
        <v>86</v>
      </c>
      <c r="K5" s="13" t="s">
        <v>87</v>
      </c>
    </row>
    <row r="6" customFormat="false" ht="15" hidden="false" customHeight="true" outlineLevel="0" collapsed="false">
      <c r="A6" s="13" t="s">
        <v>89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0</v>
      </c>
      <c r="I6" s="13" t="n">
        <v>1</v>
      </c>
      <c r="J6" s="13" t="s">
        <v>86</v>
      </c>
      <c r="K6" s="13" t="s">
        <v>87</v>
      </c>
    </row>
    <row r="8" customFormat="false" ht="15" hidden="false" customHeight="true" outlineLevel="0" collapsed="false">
      <c r="A8" s="4" t="s">
        <v>90</v>
      </c>
    </row>
    <row r="9" customFormat="false" ht="15" hidden="false" customHeight="true" outlineLevel="0" collapsed="false">
      <c r="A9" s="13" t="s">
        <v>91</v>
      </c>
    </row>
    <row r="10" customFormat="false" ht="15" hidden="false" customHeight="true" outlineLevel="0" collapsed="false">
      <c r="A10" s="13" t="s">
        <v>92</v>
      </c>
    </row>
    <row r="11" customFormat="false" ht="15" hidden="false" customHeight="true" outlineLevel="0" collapsed="false">
      <c r="A11" s="13" t="s">
        <v>93</v>
      </c>
    </row>
    <row r="12" customFormat="false" ht="15" hidden="false" customHeight="true" outlineLevel="0" collapsed="false">
      <c r="A12" s="1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95</v>
      </c>
    </row>
    <row r="2" customFormat="false" ht="15" hidden="false" customHeight="true" outlineLevel="0" collapsed="false">
      <c r="A2" s="5" t="s">
        <v>96</v>
      </c>
      <c r="B2" s="5" t="s">
        <v>97</v>
      </c>
      <c r="C2" s="5" t="s">
        <v>98</v>
      </c>
      <c r="D2" s="5" t="s">
        <v>99</v>
      </c>
      <c r="E2" s="5" t="s">
        <v>100</v>
      </c>
      <c r="F2" s="5" t="s">
        <v>21</v>
      </c>
    </row>
    <row r="3" customFormat="false" ht="15" hidden="false" customHeight="true" outlineLevel="0" collapsed="false">
      <c r="A3" s="13" t="s">
        <v>91</v>
      </c>
      <c r="B3" s="14" t="n">
        <v>4.4</v>
      </c>
      <c r="C3" s="14" t="n">
        <v>8</v>
      </c>
      <c r="D3" s="14" t="n">
        <v>12</v>
      </c>
      <c r="E3" s="14" t="n">
        <v>18</v>
      </c>
      <c r="F3" s="3" t="s">
        <v>101</v>
      </c>
    </row>
    <row r="4" customFormat="false" ht="15" hidden="false" customHeight="true" outlineLevel="0" collapsed="false">
      <c r="A4" s="13" t="s">
        <v>92</v>
      </c>
      <c r="B4" s="14" t="n">
        <v>2.2</v>
      </c>
      <c r="C4" s="14" t="n">
        <v>3</v>
      </c>
      <c r="D4" s="14" t="n">
        <v>4</v>
      </c>
      <c r="E4" s="14" t="n">
        <v>15</v>
      </c>
      <c r="F4" s="3" t="s">
        <v>102</v>
      </c>
    </row>
    <row r="5" customFormat="false" ht="15" hidden="false" customHeight="true" outlineLevel="0" collapsed="false">
      <c r="A5" s="13" t="s">
        <v>93</v>
      </c>
      <c r="B5" s="14" t="n">
        <v>1.5</v>
      </c>
      <c r="C5" s="14" t="n">
        <v>2</v>
      </c>
      <c r="D5" s="14" t="n">
        <v>2.9</v>
      </c>
      <c r="E5" s="14" t="n">
        <v>10</v>
      </c>
      <c r="F5" s="3" t="s">
        <v>103</v>
      </c>
    </row>
    <row r="6" customFormat="false" ht="15" hidden="false" customHeight="true" outlineLevel="0" collapsed="false">
      <c r="A6" s="13" t="s">
        <v>94</v>
      </c>
      <c r="B6" s="14" t="n">
        <v>1</v>
      </c>
      <c r="C6" s="14" t="n">
        <v>1</v>
      </c>
      <c r="D6" s="14" t="n">
        <v>1</v>
      </c>
      <c r="E6" s="14" t="n">
        <v>1</v>
      </c>
      <c r="F6" s="3" t="s">
        <v>104</v>
      </c>
    </row>
    <row r="8" customFormat="false" ht="15" hidden="false" customHeight="true" outlineLevel="0" collapsed="false">
      <c r="A8" s="4" t="s">
        <v>105</v>
      </c>
    </row>
    <row r="9" customFormat="false" ht="15" hidden="false" customHeight="true" outlineLevel="0" collapsed="false">
      <c r="A9" s="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107</v>
      </c>
      <c r="B1" s="5" t="s">
        <v>20</v>
      </c>
      <c r="C1" s="5" t="s">
        <v>108</v>
      </c>
    </row>
    <row r="3" customFormat="false" ht="15" hidden="false" customHeight="true" outlineLevel="0" collapsed="false">
      <c r="A3" s="6" t="s">
        <v>109</v>
      </c>
    </row>
    <row r="4" customFormat="false" ht="15" hidden="false" customHeight="true" outlineLevel="0" collapsed="false">
      <c r="A4" s="3" t="s">
        <v>110</v>
      </c>
      <c r="B4" s="15" t="n">
        <v>105079</v>
      </c>
      <c r="C4" s="3" t="s">
        <v>111</v>
      </c>
    </row>
    <row r="5" customFormat="false" ht="15" hidden="false" customHeight="true" outlineLevel="0" collapsed="false">
      <c r="A5" s="3" t="s">
        <v>112</v>
      </c>
      <c r="B5" s="16" t="s">
        <v>113</v>
      </c>
      <c r="C5" s="3" t="s">
        <v>114</v>
      </c>
    </row>
    <row r="7" customFormat="false" ht="15" hidden="false" customHeight="true" outlineLevel="0" collapsed="false">
      <c r="A7" s="6" t="s">
        <v>115</v>
      </c>
    </row>
    <row r="8" customFormat="false" ht="15" hidden="false" customHeight="true" outlineLevel="0" collapsed="false">
      <c r="A8" s="3" t="s">
        <v>116</v>
      </c>
      <c r="B8" s="16" t="s">
        <v>92</v>
      </c>
      <c r="C8" s="3" t="s">
        <v>117</v>
      </c>
    </row>
    <row r="9" customFormat="false" ht="15" hidden="false" customHeight="true" outlineLevel="0" collapsed="false">
      <c r="A9" s="3" t="s">
        <v>118</v>
      </c>
      <c r="B9" s="17" t="n">
        <v>0.5</v>
      </c>
      <c r="C9" s="3" t="s">
        <v>119</v>
      </c>
    </row>
    <row r="10" customFormat="false" ht="15" hidden="false" customHeight="true" outlineLevel="0" collapsed="false">
      <c r="A10" s="3" t="s">
        <v>120</v>
      </c>
      <c r="B10" s="17" t="n">
        <v>0</v>
      </c>
      <c r="C10" s="3" t="s">
        <v>121</v>
      </c>
    </row>
    <row r="11" customFormat="false" ht="15" hidden="false" customHeight="true" outlineLevel="0" collapsed="false">
      <c r="A11" s="3" t="s">
        <v>122</v>
      </c>
      <c r="B11" s="18" t="n">
        <v>1</v>
      </c>
      <c r="C11" s="3" t="s">
        <v>123</v>
      </c>
    </row>
    <row r="12" customFormat="false" ht="15" hidden="false" customHeight="true" outlineLevel="0" collapsed="false">
      <c r="A12" s="3" t="s">
        <v>124</v>
      </c>
      <c r="B12" s="17" t="n">
        <v>0.25</v>
      </c>
      <c r="C12" s="3" t="s">
        <v>125</v>
      </c>
    </row>
    <row r="13" customFormat="false" ht="15" hidden="false" customHeight="true" outlineLevel="0" collapsed="false">
      <c r="A13" s="3" t="s">
        <v>126</v>
      </c>
      <c r="B13" s="17" t="n">
        <v>0.5</v>
      </c>
      <c r="C13" s="3" t="s">
        <v>127</v>
      </c>
    </row>
    <row r="14" customFormat="false" ht="15" hidden="false" customHeight="true" outlineLevel="0" collapsed="false">
      <c r="A14" s="3" t="s">
        <v>128</v>
      </c>
      <c r="B14" s="17" t="n">
        <v>0.25</v>
      </c>
      <c r="C14" s="3" t="s">
        <v>129</v>
      </c>
    </row>
    <row r="15" customFormat="false" ht="15" hidden="false" customHeight="true" outlineLevel="0" collapsed="false">
      <c r="A15" s="3" t="s">
        <v>130</v>
      </c>
      <c r="B15" s="16" t="s">
        <v>131</v>
      </c>
      <c r="C15" s="3" t="s">
        <v>132</v>
      </c>
    </row>
    <row r="16" customFormat="false" ht="15" hidden="false" customHeight="true" outlineLevel="0" collapsed="false">
      <c r="A16" s="3" t="s">
        <v>133</v>
      </c>
      <c r="B16" s="15" t="n">
        <v>300</v>
      </c>
      <c r="C16" s="3" t="s">
        <v>134</v>
      </c>
    </row>
    <row r="17" customFormat="false" ht="15" hidden="false" customHeight="true" outlineLevel="0" collapsed="false">
      <c r="A17" s="3" t="s">
        <v>135</v>
      </c>
      <c r="B17" s="17" t="n">
        <v>0.85</v>
      </c>
      <c r="C17" s="3" t="s">
        <v>136</v>
      </c>
    </row>
    <row r="18" customFormat="false" ht="15" hidden="false" customHeight="true" outlineLevel="0" collapsed="false">
      <c r="A18" s="3" t="s">
        <v>137</v>
      </c>
      <c r="B18" s="16" t="s">
        <v>82</v>
      </c>
      <c r="C18" s="3" t="s">
        <v>138</v>
      </c>
    </row>
    <row r="20" customFormat="false" ht="15" hidden="false" customHeight="true" outlineLevel="0" collapsed="false">
      <c r="A20" s="6" t="s">
        <v>139</v>
      </c>
    </row>
    <row r="21" customFormat="false" ht="15" hidden="false" customHeight="true" outlineLevel="0" collapsed="false">
      <c r="A21" s="3" t="s">
        <v>140</v>
      </c>
      <c r="B21" s="19" t="n">
        <v>0</v>
      </c>
      <c r="C21" s="3" t="s">
        <v>141</v>
      </c>
    </row>
    <row r="23" customFormat="false" ht="15" hidden="false" customHeight="true" outlineLevel="0" collapsed="false">
      <c r="A23" s="6" t="s">
        <v>142</v>
      </c>
    </row>
    <row r="24" customFormat="false" ht="15" hidden="false" customHeight="true" outlineLevel="0" collapsed="false">
      <c r="A24" s="3" t="s">
        <v>143</v>
      </c>
      <c r="B24" s="20" t="n">
        <v>1</v>
      </c>
      <c r="C24" s="3" t="s">
        <v>144</v>
      </c>
    </row>
    <row r="25" customFormat="false" ht="15" hidden="false" customHeight="true" outlineLevel="0" collapsed="false">
      <c r="A25" s="3" t="s">
        <v>145</v>
      </c>
      <c r="B25" s="20" t="n">
        <v>1.3</v>
      </c>
      <c r="C25" s="3" t="s">
        <v>146</v>
      </c>
    </row>
    <row r="26" customFormat="false" ht="15" hidden="false" customHeight="true" outlineLevel="0" collapsed="false">
      <c r="A26" s="3" t="s">
        <v>147</v>
      </c>
      <c r="B26" s="20" t="n">
        <v>1.3</v>
      </c>
      <c r="C26" s="3" t="s">
        <v>148</v>
      </c>
    </row>
    <row r="28" customFormat="false" ht="15" hidden="false" customHeight="true" outlineLevel="0" collapsed="false">
      <c r="A28" s="6" t="s">
        <v>149</v>
      </c>
    </row>
    <row r="29" customFormat="false" ht="15" hidden="false" customHeight="true" outlineLevel="0" collapsed="false">
      <c r="A29" s="3" t="s">
        <v>150</v>
      </c>
      <c r="B29" s="21"/>
      <c r="C29" s="3" t="s">
        <v>151</v>
      </c>
    </row>
    <row r="30" customFormat="false" ht="15" hidden="false" customHeight="true" outlineLevel="0" collapsed="false">
      <c r="A30" s="3" t="s">
        <v>152</v>
      </c>
      <c r="B30" s="19" t="n">
        <v>36</v>
      </c>
      <c r="C30" s="3" t="s">
        <v>153</v>
      </c>
    </row>
    <row r="32" customFormat="false" ht="15" hidden="false" customHeight="false" outlineLevel="0" collapsed="false">
      <c r="A32" s="22" t="s">
        <v>154</v>
      </c>
    </row>
    <row r="33" customFormat="false" ht="15" hidden="false" customHeight="false" outlineLevel="0" collapsed="false">
      <c r="A33" s="23" t="s">
        <v>155</v>
      </c>
      <c r="B33" s="24" t="n">
        <v>0</v>
      </c>
      <c r="C33" s="23" t="s">
        <v>156</v>
      </c>
    </row>
    <row r="34" customFormat="false" ht="15" hidden="false" customHeight="false" outlineLevel="0" collapsed="false">
      <c r="A34" s="23" t="s">
        <v>157</v>
      </c>
      <c r="B34" s="24" t="n">
        <v>100000</v>
      </c>
      <c r="C34" s="23" t="s">
        <v>158</v>
      </c>
    </row>
    <row r="35" customFormat="false" ht="15" hidden="false" customHeight="false" outlineLevel="0" collapsed="false">
      <c r="A35" s="23" t="s">
        <v>159</v>
      </c>
      <c r="B35" s="25" t="n">
        <v>2</v>
      </c>
      <c r="C35" s="23" t="s">
        <v>160</v>
      </c>
    </row>
    <row r="36" customFormat="false" ht="15" hidden="false" customHeight="false" outlineLevel="0" collapsed="false">
      <c r="A36" s="23" t="s">
        <v>161</v>
      </c>
      <c r="B36" s="25" t="n">
        <v>0</v>
      </c>
      <c r="C36" s="23" t="s">
        <v>162</v>
      </c>
    </row>
    <row r="37" customFormat="false" ht="15" hidden="false" customHeight="false" outlineLevel="0" collapsed="false">
      <c r="A37" s="23" t="s">
        <v>163</v>
      </c>
      <c r="B37" s="26" t="n">
        <v>0.15</v>
      </c>
      <c r="C37" s="2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165</v>
      </c>
      <c r="B1" s="5" t="s">
        <v>20</v>
      </c>
      <c r="C1" s="5" t="s">
        <v>166</v>
      </c>
    </row>
    <row r="3" customFormat="false" ht="15" hidden="false" customHeight="true" outlineLevel="0" collapsed="false">
      <c r="A3" s="6" t="s">
        <v>167</v>
      </c>
    </row>
    <row r="4" customFormat="false" ht="15" hidden="false" customHeight="true" outlineLevel="0" collapsed="false">
      <c r="A4" s="3" t="s">
        <v>168</v>
      </c>
      <c r="B4" s="27" t="n">
        <f aca="false">(Inputs!$B$10*(RateCard!$B$4+RateCard!$B$6)+(1-Inputs!$B$10)*(RateCard!$B$5+RateCard!$B$7))*(1+RateCard!$B$15)</f>
        <v>71.24</v>
      </c>
      <c r="C4" s="3" t="s">
        <v>169</v>
      </c>
    </row>
    <row r="5" customFormat="false" ht="15" hidden="false" customHeight="true" outlineLevel="0" collapsed="false">
      <c r="A5" s="3" t="s">
        <v>170</v>
      </c>
      <c r="B5" s="28" t="n">
        <f aca="false">Inputs!$B$4*Inputs!$B$13</f>
        <v>52539.5</v>
      </c>
      <c r="C5" s="3" t="s">
        <v>171</v>
      </c>
    </row>
    <row r="6" customFormat="false" ht="15" hidden="false" customHeight="true" outlineLevel="0" collapsed="false">
      <c r="A6" s="3" t="s">
        <v>172</v>
      </c>
      <c r="B6" s="29" t="n">
        <f aca="false">B5/B4</f>
        <v>737.5</v>
      </c>
      <c r="C6" s="3"/>
    </row>
    <row r="7" customFormat="false" ht="15" hidden="false" customHeight="true" outlineLevel="0" collapsed="false">
      <c r="A7" s="3" t="s">
        <v>173</v>
      </c>
      <c r="B7" s="29" t="n">
        <f aca="false">IF(Inputs!$B$21&gt;0,Inputs!$B$21,B6*RateCard!$B$16)</f>
        <v>5900</v>
      </c>
      <c r="C7" s="3" t="s">
        <v>174</v>
      </c>
    </row>
    <row r="9" customFormat="false" ht="15" hidden="false" customHeight="true" outlineLevel="0" collapsed="false">
      <c r="A9" s="6" t="s">
        <v>175</v>
      </c>
    </row>
    <row r="10" customFormat="false" ht="15" hidden="false" customHeight="true" outlineLevel="0" collapsed="false">
      <c r="A10" s="3" t="s">
        <v>176</v>
      </c>
      <c r="B10" s="30" t="n">
        <f aca="false">Inputs!$B$9*INDEX(PerfFactors!$B$3:$B$6,MATCH(Inputs!$B$8,PerfFactors!$A$3:$A$6,0))+(1-Inputs!$B$9)*INDEX(PerfFactors!$D$3:$D$6,MATCH(Inputs!$B$8,PerfFactors!$A$3:$A$6,0))</f>
        <v>3.1</v>
      </c>
      <c r="C10" s="3" t="s">
        <v>177</v>
      </c>
    </row>
    <row r="11" customFormat="false" ht="15" hidden="false" customHeight="true" outlineLevel="0" collapsed="false">
      <c r="A11" s="3" t="s">
        <v>178</v>
      </c>
      <c r="B11" s="30" t="n">
        <f aca="false">B10*Inputs!$B$24*Inputs!$B$25*Inputs!$B$26</f>
        <v>5.239</v>
      </c>
      <c r="C11" s="3" t="s">
        <v>179</v>
      </c>
    </row>
    <row r="12" customFormat="false" ht="15" hidden="false" customHeight="true" outlineLevel="0" collapsed="false">
      <c r="A12" s="3" t="s">
        <v>180</v>
      </c>
      <c r="B12" s="29" t="n">
        <f aca="false">B7/B11</f>
        <v>1126.16911624356</v>
      </c>
      <c r="C12" s="3"/>
    </row>
    <row r="13" customFormat="false" ht="15" hidden="false" customHeight="true" outlineLevel="0" collapsed="false">
      <c r="A13" s="3" t="s">
        <v>181</v>
      </c>
      <c r="B13" s="29" t="n">
        <f aca="false">B7</f>
        <v>5900</v>
      </c>
      <c r="C13" s="3" t="s">
        <v>182</v>
      </c>
    </row>
    <row r="15" customFormat="false" ht="15" hidden="false" customHeight="true" outlineLevel="0" collapsed="false">
      <c r="A15" s="6" t="s">
        <v>183</v>
      </c>
    </row>
    <row r="16" customFormat="false" ht="15" hidden="false" customHeight="true" outlineLevel="0" collapsed="false">
      <c r="A16" s="3" t="s">
        <v>184</v>
      </c>
      <c r="B16" s="29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185</v>
      </c>
      <c r="B17" s="29" t="n">
        <f aca="false">B16*RateCard!$B$36*Inputs!$B$17</f>
        <v>4964</v>
      </c>
      <c r="C17" s="3" t="s">
        <v>186</v>
      </c>
    </row>
    <row r="18" customFormat="false" ht="15" hidden="false" customHeight="true" outlineLevel="0" collapsed="false">
      <c r="A18" s="3" t="s">
        <v>187</v>
      </c>
      <c r="B18" s="29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188</v>
      </c>
      <c r="B19" s="29" t="n">
        <f aca="false">CEILING(B13/B17,1)+Inputs!$B$36</f>
        <v>2</v>
      </c>
      <c r="C19" s="3"/>
    </row>
    <row r="20" customFormat="false" ht="15" hidden="false" customHeight="true" outlineLevel="0" collapsed="false">
      <c r="A20" s="3" t="s">
        <v>189</v>
      </c>
      <c r="B20" s="31" t="n">
        <f aca="false">1-B12/(B18*B17)</f>
        <v>0.773132732424747</v>
      </c>
      <c r="C20" s="3" t="s">
        <v>190</v>
      </c>
    </row>
    <row r="22" customFormat="false" ht="15" hidden="false" customHeight="true" outlineLevel="0" collapsed="false">
      <c r="A22" s="6" t="s">
        <v>191</v>
      </c>
    </row>
    <row r="23" customFormat="false" ht="15" hidden="false" customHeight="true" outlineLevel="0" collapsed="false">
      <c r="A23" s="3" t="s">
        <v>192</v>
      </c>
      <c r="B23" s="32" t="n">
        <f aca="false">Inputs!$B$11*Inputs!$B$12</f>
        <v>0.25</v>
      </c>
      <c r="C23" s="3"/>
    </row>
    <row r="24" customFormat="false" ht="15" hidden="false" customHeight="true" outlineLevel="0" collapsed="false">
      <c r="A24" s="3" t="s">
        <v>193</v>
      </c>
      <c r="B24" s="32" t="n">
        <f aca="false">Inputs!$B$11*(1-Inputs!$B$12)</f>
        <v>0.75</v>
      </c>
      <c r="C24" s="3"/>
    </row>
    <row r="25" customFormat="false" ht="15" hidden="false" customHeight="true" outlineLevel="0" collapsed="false">
      <c r="A25" s="3" t="s">
        <v>194</v>
      </c>
      <c r="B25" s="28" t="n">
        <f aca="false">B23*1000000*RateCard!$B$8+B24*1000000*RateCard!$B$9+Inputs!$B$11*1000000*RateCard!$B$11*RateCard!$B$10</f>
        <v>52500</v>
      </c>
      <c r="C25" s="3" t="s">
        <v>195</v>
      </c>
    </row>
    <row r="26" customFormat="false" ht="15" hidden="false" customHeight="true" outlineLevel="0" collapsed="false">
      <c r="A26" s="3" t="s">
        <v>196</v>
      </c>
      <c r="B26" s="28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197</v>
      </c>
    </row>
    <row r="29" customFormat="false" ht="15" hidden="false" customHeight="true" outlineLevel="0" collapsed="false">
      <c r="A29" s="3" t="s">
        <v>198</v>
      </c>
      <c r="B29" s="28" t="n">
        <f aca="false">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</f>
        <v>744793</v>
      </c>
      <c r="C29" s="3" t="s">
        <v>199</v>
      </c>
    </row>
    <row r="30" customFormat="false" ht="15" hidden="false" customHeight="true" outlineLevel="0" collapsed="false">
      <c r="A30" s="3" t="s">
        <v>200</v>
      </c>
      <c r="B30" s="29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201</v>
      </c>
      <c r="B31" s="28" t="n">
        <f aca="false">B18*B29+RateCard!$B$19+B30*RateCard!$B$21</f>
        <v>1359793</v>
      </c>
      <c r="C31" s="3" t="s">
        <v>202</v>
      </c>
    </row>
    <row r="32" customFormat="false" ht="15" hidden="false" customHeight="true" outlineLevel="0" collapsed="false">
      <c r="A32" s="3" t="s">
        <v>203</v>
      </c>
      <c r="B32" s="28" t="n">
        <f aca="false">B23*RateCard!$B$22+B24*RateCard!$B$24</f>
        <v>675000</v>
      </c>
      <c r="C32" s="3"/>
    </row>
    <row r="33" customFormat="false" ht="15" hidden="false" customHeight="true" outlineLevel="0" collapsed="false">
      <c r="A33" s="3" t="s">
        <v>204</v>
      </c>
      <c r="B33" s="28" t="n">
        <f aca="false">B31+B32</f>
        <v>2034793</v>
      </c>
      <c r="C33" s="3"/>
    </row>
    <row r="34" customFormat="false" ht="15" hidden="false" customHeight="true" outlineLevel="0" collapsed="false">
      <c r="A34" s="3" t="s">
        <v>205</v>
      </c>
      <c r="B34" s="32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206</v>
      </c>
      <c r="B35" s="28" t="n">
        <f aca="false">(B18*B34+Inputs!$B$11*RateCard!$B$26)*Inputs!$B$16</f>
        <v>7320</v>
      </c>
      <c r="C35" s="3" t="s">
        <v>207</v>
      </c>
    </row>
    <row r="36" customFormat="false" ht="15" hidden="false" customHeight="true" outlineLevel="0" collapsed="false">
      <c r="A36" s="3" t="s">
        <v>208</v>
      </c>
      <c r="B36" s="32" t="n">
        <f aca="false">B30+Inputs!$B$11*RateCard!$B$27</f>
        <v>2</v>
      </c>
      <c r="C36" s="3"/>
    </row>
    <row r="37" customFormat="false" ht="15" hidden="false" customHeight="true" outlineLevel="0" collapsed="false">
      <c r="A37" s="3" t="s">
        <v>209</v>
      </c>
      <c r="B37" s="28" t="n">
        <f aca="false">RateCard!$B$29+RateCard!$B$30*B36/36</f>
        <v>3111.11111111111</v>
      </c>
      <c r="C37" s="3" t="s">
        <v>210</v>
      </c>
    </row>
    <row r="38" customFormat="false" ht="15" hidden="false" customHeight="true" outlineLevel="0" collapsed="false">
      <c r="A38" s="3" t="s">
        <v>211</v>
      </c>
      <c r="B38" s="28" t="n">
        <f aca="false">B18/RateCard!$B$31*RateCard!$B$32/12</f>
        <v>1575</v>
      </c>
      <c r="C38" s="3" t="s">
        <v>207</v>
      </c>
    </row>
    <row r="39" customFormat="false" ht="15" hidden="false" customHeight="true" outlineLevel="0" collapsed="false">
      <c r="A39" s="3" t="s">
        <v>212</v>
      </c>
      <c r="B39" s="28" t="n">
        <f aca="false">(B23*RateCard!$B$23+B24*RateCard!$B$25)/12</f>
        <v>4166.64583333333</v>
      </c>
      <c r="C39" s="3" t="s">
        <v>213</v>
      </c>
    </row>
    <row r="40" customFormat="false" ht="15" hidden="false" customHeight="true" outlineLevel="0" collapsed="false">
      <c r="A40" s="3" t="s">
        <v>214</v>
      </c>
      <c r="B40" s="28" t="n">
        <f aca="false">B35+B37+B38+B39</f>
        <v>16172.7569444444</v>
      </c>
      <c r="C40" s="3"/>
    </row>
    <row r="41" customFormat="false" ht="15" hidden="false" customHeight="true" outlineLevel="0" collapsed="false">
      <c r="A41" s="3" t="s">
        <v>215</v>
      </c>
      <c r="B41" s="28" t="n">
        <f aca="false">B18*RateCard!$B$33+B39</f>
        <v>15553.6458333333</v>
      </c>
      <c r="C41" s="3" t="s">
        <v>216</v>
      </c>
    </row>
    <row r="42" customFormat="false" ht="15" hidden="false" customHeight="true" outlineLevel="0" collapsed="false">
      <c r="A42" s="3" t="s">
        <v>217</v>
      </c>
      <c r="B42" s="28" t="n">
        <f aca="false">IF(Inputs!$B$15="Equinix",B41,B40)</f>
        <v>16172.7569444444</v>
      </c>
      <c r="C42" s="3"/>
    </row>
    <row r="44" customFormat="false" ht="15" hidden="false" customHeight="true" outlineLevel="0" collapsed="false">
      <c r="A44" s="6" t="s">
        <v>218</v>
      </c>
    </row>
    <row r="45" customFormat="false" ht="15" hidden="false" customHeight="true" outlineLevel="0" collapsed="false">
      <c r="A45" s="3" t="s">
        <v>219</v>
      </c>
      <c r="B45" s="28" t="n">
        <f aca="false">B19*B29+RateCard!$B$19+CEILING(B19/INDEX(Hardware!$I$3:$I$6,MATCH(Inputs!$B$18,Hardware!$A$3:$A$6,0)),1)*RateCard!$B$21+B32</f>
        <v>2779586</v>
      </c>
      <c r="C45" s="3"/>
    </row>
    <row r="46" customFormat="false" ht="15" hidden="false" customHeight="true" outlineLevel="0" collapsed="false">
      <c r="A46" s="3" t="s">
        <v>220</v>
      </c>
      <c r="B46" s="28" t="n">
        <f aca="false">(B19*B34+Inputs!$B$11*RateCard!$B$26)*Inputs!$B$16+RateCard!$B$29+RateCard!$B$30*(CEILING(B19/INDEX(Hardware!$I$3:$I$6,MATCH(Inputs!$B$18,Hardware!$A$3:$A$6,0)),1)+Inputs!$B$11*RateCard!$B$27)/36+B19/RateCard!$B$31*RateCard!$B$32/12+B39</f>
        <v>22067.7569444444</v>
      </c>
      <c r="C46" s="3"/>
    </row>
    <row r="47" customFormat="false" ht="15" hidden="false" customHeight="true" outlineLevel="0" collapsed="false">
      <c r="A47" s="3" t="s">
        <v>221</v>
      </c>
      <c r="B47" s="28" t="n">
        <f aca="false">B19*RateCard!$B$33+B39</f>
        <v>26940.6458333333</v>
      </c>
      <c r="C47" s="3"/>
    </row>
    <row r="48" customFormat="false" ht="15" hidden="false" customHeight="true" outlineLevel="0" collapsed="false">
      <c r="A48" s="3" t="s">
        <v>222</v>
      </c>
      <c r="B48" s="28" t="n">
        <f aca="false">IF(Inputs!$B$15="Equinix",B47,B46)</f>
        <v>22067.7569444444</v>
      </c>
      <c r="C48" s="3"/>
    </row>
    <row r="50" customFormat="false" ht="15" hidden="false" customHeight="true" outlineLevel="0" collapsed="false">
      <c r="A50" s="6" t="s">
        <v>223</v>
      </c>
    </row>
    <row r="51" customFormat="false" ht="15" hidden="false" customHeight="true" outlineLevel="0" collapsed="false">
      <c r="A51" s="3" t="s">
        <v>224</v>
      </c>
      <c r="B51" s="28" t="str">
        <f aca="false">IF(ISBLANK(Inputs!$B$29),"not entered",B33*Inputs!$B$29)</f>
        <v>not entered</v>
      </c>
      <c r="C51" s="3" t="s">
        <v>225</v>
      </c>
    </row>
    <row r="52" customFormat="false" ht="15" hidden="false" customHeight="true" outlineLevel="0" collapsed="false">
      <c r="A52" s="3" t="s">
        <v>226</v>
      </c>
      <c r="B52" s="28" t="str">
        <f aca="false">IF(ISBLANK(Inputs!$B$29),"not entered",B45*Inputs!$B$29)</f>
        <v>not entered</v>
      </c>
      <c r="C52" s="3"/>
    </row>
    <row r="53" customFormat="false" ht="15" hidden="false" customHeight="false" outlineLevel="0" collapsed="false">
      <c r="A53" s="22" t="s">
        <v>227</v>
      </c>
    </row>
    <row r="54" customFormat="false" ht="15" hidden="false" customHeight="false" outlineLevel="0" collapsed="false">
      <c r="A54" s="23" t="s">
        <v>228</v>
      </c>
      <c r="B54" s="33" t="n">
        <f aca="false">Inputs!$B$33+Inputs!$B$34+Inputs!$B$35*Inputs!$B$4+Inputs!$B$11*1000000*RateCard!$B$10</f>
        <v>360158</v>
      </c>
      <c r="C54" s="23" t="s">
        <v>229</v>
      </c>
    </row>
    <row r="55" customFormat="false" ht="15" hidden="false" customHeight="false" outlineLevel="0" collapsed="false">
      <c r="A55" s="23" t="s">
        <v>230</v>
      </c>
      <c r="B55" s="33" t="n">
        <f aca="false">Inputs!$B$37*(B18*B29+B32)</f>
        <v>212968.95</v>
      </c>
      <c r="C55" s="23" t="s">
        <v>231</v>
      </c>
    </row>
    <row r="56" customFormat="false" ht="15" hidden="false" customHeight="false" outlineLevel="0" collapsed="false">
      <c r="A56" s="23" t="s">
        <v>232</v>
      </c>
      <c r="B56" s="33" t="n">
        <f aca="false">Inputs!$B$37*(B19*B29+B32)</f>
        <v>324687.9</v>
      </c>
      <c r="C56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233</v>
      </c>
    </row>
    <row r="2" customFormat="false" ht="15" hidden="false" customHeight="true" outlineLevel="0" collapsed="false">
      <c r="A2" s="3" t="s">
        <v>234</v>
      </c>
    </row>
    <row r="4" customFormat="false" ht="15" hidden="false" customHeight="true" outlineLevel="0" collapsed="false">
      <c r="A4" s="6" t="s">
        <v>235</v>
      </c>
    </row>
    <row r="5" customFormat="false" ht="15" hidden="false" customHeight="true" outlineLevel="0" collapsed="false">
      <c r="A5" s="5"/>
      <c r="B5" s="5" t="s">
        <v>236</v>
      </c>
      <c r="C5" s="5" t="s">
        <v>237</v>
      </c>
      <c r="D5" s="5" t="s">
        <v>238</v>
      </c>
      <c r="E5" s="5" t="s">
        <v>239</v>
      </c>
      <c r="F5" s="5" t="s">
        <v>240</v>
      </c>
    </row>
    <row r="6" customFormat="false" ht="15" hidden="false" customHeight="true" outlineLevel="0" collapsed="false">
      <c r="A6" s="3" t="s">
        <v>241</v>
      </c>
      <c r="B6" s="28" t="n">
        <f aca="false">12*(Inputs!$B$4*Inputs!$B$13*(1+Inputs!$B$14)^0+Inputs!$B$4*(1-Inputs!$B$13)*(1+RateCard!$B$37)^0)</f>
        <v>1260948</v>
      </c>
      <c r="C6" s="28" t="n">
        <f aca="false">12*(Inputs!$B$4*Inputs!$B$13*(1+Inputs!$B$14)^1+Inputs!$B$4*(1-Inputs!$B$13)*(1+RateCard!$B$37)^1)</f>
        <v>1443785.46</v>
      </c>
      <c r="D6" s="28" t="n">
        <f aca="false">12*(Inputs!$B$4*Inputs!$B$13*(1+Inputs!$B$14)^2+Inputs!$B$4*(1-Inputs!$B$13)*(1+RateCard!$B$37)^2)</f>
        <v>1667036.3034</v>
      </c>
      <c r="E6" s="28" t="n">
        <f aca="false">12*(Inputs!$B$4*Inputs!$B$13*(1+Inputs!$B$14)^3+Inputs!$B$4*(1-Inputs!$B$13)*(1+RateCard!$B$37)^3)</f>
        <v>1940592.036786</v>
      </c>
      <c r="F6" s="28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242</v>
      </c>
      <c r="B7" s="28" t="n">
        <f aca="false">12*Engine!$B$42*(1+RateCard!$B$37)^0</f>
        <v>194073.083333333</v>
      </c>
      <c r="C7" s="28" t="n">
        <f aca="false">12*Engine!$B$42*(1+RateCard!$B$37)^1</f>
        <v>201836.006666667</v>
      </c>
      <c r="D7" s="28" t="n">
        <f aca="false">12*Engine!$B$42*(1+RateCard!$B$37)^2</f>
        <v>209909.446933333</v>
      </c>
      <c r="E7" s="28" t="n">
        <f aca="false">12*Engine!$B$42*(1+RateCard!$B$37)^3</f>
        <v>218305.824810667</v>
      </c>
      <c r="F7" s="28" t="n">
        <f aca="false">12*Engine!$B$42*(1+RateCard!$B$37)^4</f>
        <v>227038.057803093</v>
      </c>
    </row>
    <row r="8" customFormat="false" ht="15" hidden="false" customHeight="true" outlineLevel="0" collapsed="false">
      <c r="A8" s="3" t="s">
        <v>243</v>
      </c>
      <c r="B8" s="28" t="n">
        <f aca="false">12*Engine!$B$48*(1+RateCard!$B$37)^0</f>
        <v>264813.083333333</v>
      </c>
      <c r="C8" s="28" t="n">
        <f aca="false">12*Engine!$B$48*(1+RateCard!$B$37)^1</f>
        <v>275405.606666667</v>
      </c>
      <c r="D8" s="28" t="n">
        <f aca="false">12*Engine!$B$48*(1+RateCard!$B$37)^2</f>
        <v>286421.830933333</v>
      </c>
      <c r="E8" s="28" t="n">
        <f aca="false">12*Engine!$B$48*(1+RateCard!$B$37)^3</f>
        <v>297878.704170667</v>
      </c>
      <c r="F8" s="28" t="n">
        <f aca="false">12*Engine!$B$48*(1+RateCard!$B$37)^4</f>
        <v>309793.852337493</v>
      </c>
    </row>
    <row r="10" customFormat="false" ht="15" hidden="false" customHeight="true" outlineLevel="0" collapsed="false">
      <c r="A10" s="6" t="s">
        <v>244</v>
      </c>
    </row>
    <row r="11" customFormat="false" ht="15" hidden="false" customHeight="true" outlineLevel="0" collapsed="false">
      <c r="A11" s="5"/>
      <c r="B11" s="5" t="s">
        <v>245</v>
      </c>
      <c r="C11" s="5" t="s">
        <v>246</v>
      </c>
      <c r="D11" s="5" t="s">
        <v>247</v>
      </c>
    </row>
    <row r="12" customFormat="false" ht="15" hidden="false" customHeight="true" outlineLevel="0" collapsed="false">
      <c r="A12" s="3" t="s">
        <v>248</v>
      </c>
      <c r="B12" s="28" t="n">
        <f aca="false">SUM($B$6:B6)</f>
        <v>1260948</v>
      </c>
      <c r="C12" s="28" t="n">
        <f aca="false">SUM($B$6:D6)</f>
        <v>4371769.7634</v>
      </c>
      <c r="D12" s="28" t="n">
        <f aca="false">SUM($B$6:F6)</f>
        <v>8589170.37000594</v>
      </c>
    </row>
    <row r="13" customFormat="false" ht="15" hidden="false" customHeight="true" outlineLevel="0" collapsed="false">
      <c r="A13" s="3" t="s">
        <v>249</v>
      </c>
      <c r="B13" s="28" t="n">
        <f aca="false">Engine!$B$33+Engine!$B$54-Engine!$B$55+SUM($B$7:B7)</f>
        <v>2376055.13333333</v>
      </c>
      <c r="C13" s="28" t="n">
        <f aca="false">Engine!$B$33+Engine!$B$54-Engine!$B$55+SUM($B$7:D7)</f>
        <v>2787800.58693333</v>
      </c>
      <c r="D13" s="28" t="n">
        <f aca="false">Engine!$B$33+Engine!$B$54-Engine!$B$55+SUM($B$7:F7)</f>
        <v>3233144.46954709</v>
      </c>
    </row>
    <row r="14" customFormat="false" ht="15" hidden="false" customHeight="true" outlineLevel="0" collapsed="false">
      <c r="A14" s="4" t="s">
        <v>250</v>
      </c>
      <c r="B14" s="28" t="n">
        <f aca="false">B12-B13</f>
        <v>-1115107.13333333</v>
      </c>
      <c r="C14" s="28" t="n">
        <f aca="false">C12-C13</f>
        <v>1583969.17646667</v>
      </c>
      <c r="D14" s="28" t="n">
        <f aca="false">D12-D13</f>
        <v>5356025.90045885</v>
      </c>
    </row>
    <row r="15" customFormat="false" ht="15" hidden="false" customHeight="true" outlineLevel="0" collapsed="false">
      <c r="A15" s="3" t="s">
        <v>251</v>
      </c>
      <c r="B15" s="31" t="n">
        <f aca="false">B14/B12</f>
        <v>-0.884340300578084</v>
      </c>
      <c r="C15" s="31" t="n">
        <f aca="false">C14/C12</f>
        <v>0.362317610988459</v>
      </c>
      <c r="D15" s="31" t="n">
        <f aca="false">D14/D12</f>
        <v>0.623578956957532</v>
      </c>
    </row>
    <row r="16" customFormat="false" ht="15" hidden="false" customHeight="true" outlineLevel="0" collapsed="false">
      <c r="A16" s="3" t="s">
        <v>252</v>
      </c>
      <c r="B16" s="28" t="n">
        <f aca="false">Engine!$B$45+Engine!$B$54-Engine!$B$56+SUM($B$8:B8)</f>
        <v>3079869.18333333</v>
      </c>
      <c r="C16" s="28" t="n">
        <f aca="false">Engine!$B$45+Engine!$B$54-Engine!$B$56+SUM($B$8:D8)</f>
        <v>3641696.62093333</v>
      </c>
      <c r="D16" s="28" t="n">
        <f aca="false">Engine!$B$45+Engine!$B$54-Engine!$B$56+SUM($B$8:F8)</f>
        <v>4249369.17744149</v>
      </c>
    </row>
    <row r="17" customFormat="false" ht="15" hidden="false" customHeight="true" outlineLevel="0" collapsed="false">
      <c r="A17" s="4" t="s">
        <v>253</v>
      </c>
      <c r="B17" s="28" t="n">
        <f aca="false">B12-B16</f>
        <v>-1818921.18333333</v>
      </c>
      <c r="C17" s="28" t="n">
        <f aca="false">C12-C16</f>
        <v>730073.142466666</v>
      </c>
      <c r="D17" s="28" t="n">
        <f aca="false">D12-D16</f>
        <v>4339801.19256445</v>
      </c>
    </row>
    <row r="18" customFormat="false" ht="15" hidden="false" customHeight="true" outlineLevel="0" collapsed="false">
      <c r="A18" s="3" t="s">
        <v>254</v>
      </c>
      <c r="B18" s="31" t="n">
        <f aca="false">B17/B12</f>
        <v>-1.4425029290132</v>
      </c>
      <c r="C18" s="31" t="n">
        <f aca="false">C17/C12</f>
        <v>0.166997161785317</v>
      </c>
      <c r="D18" s="31" t="n">
        <f aca="false">D17/D12</f>
        <v>0.505264304422156</v>
      </c>
    </row>
    <row r="20" customFormat="false" ht="15" hidden="false" customHeight="true" outlineLevel="0" collapsed="false">
      <c r="A20" s="6" t="s">
        <v>255</v>
      </c>
    </row>
    <row r="21" customFormat="false" ht="15" hidden="false" customHeight="true" outlineLevel="0" collapsed="false">
      <c r="A21" s="3" t="s">
        <v>256</v>
      </c>
      <c r="B21" s="34" t="str">
        <f aca="false">Engine!$B$18&amp;" / "&amp;Engine!$B$19</f>
        <v>1 / 2</v>
      </c>
    </row>
    <row r="22" customFormat="false" ht="15" hidden="false" customHeight="true" outlineLevel="0" collapsed="false">
      <c r="A22" s="3" t="s">
        <v>257</v>
      </c>
      <c r="B22" s="28" t="n">
        <f aca="false">Engine!$B$33</f>
        <v>2034793</v>
      </c>
    </row>
    <row r="23" customFormat="false" ht="15" hidden="false" customHeight="true" outlineLevel="0" collapsed="false">
      <c r="A23" s="3" t="s">
        <v>258</v>
      </c>
      <c r="B23" s="31" t="n">
        <f aca="false">Engine!$B$20</f>
        <v>0.773132732424747</v>
      </c>
    </row>
    <row r="24" customFormat="false" ht="15" hidden="false" customHeight="true" outlineLevel="0" collapsed="false">
      <c r="A24" s="3" t="s">
        <v>259</v>
      </c>
      <c r="B24" s="32" t="n">
        <f aca="false">IF(Inputs!$B$14=0,"n/a (no growth)",LN(1/(1-Engine!$B$20))/LN(1+Inputs!$B$14))</f>
        <v>6.6476944913725</v>
      </c>
    </row>
    <row r="25" customFormat="false" ht="15" hidden="false" customHeight="true" outlineLevel="0" collapsed="false">
      <c r="A25" s="3" t="s">
        <v>260</v>
      </c>
      <c r="B25" s="28" t="n">
        <f aca="false">Engine!$B$25</f>
        <v>52500</v>
      </c>
    </row>
    <row r="26" customFormat="false" ht="15" hidden="false" customHeight="true" outlineLevel="0" collapsed="false">
      <c r="A26" s="3" t="s">
        <v>261</v>
      </c>
      <c r="B26" s="32" t="n">
        <f aca="false">(Engine!$B$33+Engine!$B$54)/(Inputs!$B$4-Engine!$B$42)</f>
        <v>26.9379395382105</v>
      </c>
    </row>
    <row r="27" customFormat="false" ht="15" hidden="false" customHeight="true" outlineLevel="0" collapsed="false">
      <c r="A27" s="3" t="s">
        <v>262</v>
      </c>
      <c r="B27" s="28" t="str">
        <f aca="false">Engine!$B$51</f>
        <v>not entered</v>
      </c>
    </row>
    <row r="28" customFormat="false" ht="15" hidden="false" customHeight="false" outlineLevel="0" collapsed="false">
      <c r="A28" s="1" t="s">
        <v>228</v>
      </c>
      <c r="B28" s="33" t="n">
        <f aca="false">Engine!$B$54</f>
        <v>360158</v>
      </c>
    </row>
    <row r="29" customFormat="false" ht="15" hidden="false" customHeight="false" outlineLevel="0" collapsed="false">
      <c r="A29" s="1" t="s">
        <v>230</v>
      </c>
      <c r="B29" s="33" t="n">
        <f aca="false">Engine!$B$55</f>
        <v>212968.95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263</v>
      </c>
    </row>
    <row r="2" customFormat="false" ht="15" hidden="false" customHeight="true" outlineLevel="0" collapsed="false">
      <c r="A2" s="3" t="s">
        <v>264</v>
      </c>
    </row>
    <row r="4" customFormat="false" ht="15" hidden="false" customHeight="true" outlineLevel="0" collapsed="false">
      <c r="A4" s="5" t="s">
        <v>265</v>
      </c>
      <c r="B4" s="5" t="s">
        <v>266</v>
      </c>
      <c r="C4" s="5" t="s">
        <v>267</v>
      </c>
      <c r="D4" s="5" t="s">
        <v>268</v>
      </c>
    </row>
    <row r="5" customFormat="false" ht="15" hidden="false" customHeight="true" outlineLevel="0" collapsed="false">
      <c r="A5" s="3" t="s">
        <v>269</v>
      </c>
      <c r="B5" s="29" t="n">
        <f aca="false">8*RateCard!$B$36</f>
        <v>5840</v>
      </c>
      <c r="C5" s="11" t="n">
        <v>5840</v>
      </c>
      <c r="D5" s="4" t="str">
        <f aca="false">IF(ABS(B5-C5)/C5&lt;0.01,"PASS","FAIL")</f>
        <v>PASS</v>
      </c>
    </row>
    <row r="6" customFormat="false" ht="15" hidden="false" customHeight="true" outlineLevel="0" collapsed="false">
      <c r="A6" s="3" t="s">
        <v>270</v>
      </c>
      <c r="B6" s="28" t="n">
        <f aca="false">730*(RateCard!$B$5+RateCard!$B$7)</f>
        <v>52005.2</v>
      </c>
      <c r="C6" s="9" t="n">
        <v>52005</v>
      </c>
      <c r="D6" s="4" t="str">
        <f aca="false">IF(ABS(B6-C6)/C6&lt;0.01,"PASS","FAIL")</f>
        <v>PASS</v>
      </c>
    </row>
    <row r="7" customFormat="false" ht="15" hidden="false" customHeight="true" outlineLevel="0" collapsed="false">
      <c r="A7" s="3" t="s">
        <v>271</v>
      </c>
      <c r="B7" s="28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IF(ABS(B7-C7)/C7&lt;0.01,"PASS","FAIL")</f>
        <v>PASS</v>
      </c>
    </row>
    <row r="8" customFormat="false" ht="15" hidden="false" customHeight="true" outlineLevel="0" collapsed="false">
      <c r="A8" s="3" t="s">
        <v>272</v>
      </c>
      <c r="B8" s="28" t="n">
        <f aca="false">RateCard!$B$13/12+RateCard!$B$14*RateCard!$B$12/12</f>
        <v>574.166666666667</v>
      </c>
      <c r="C8" s="9" t="n">
        <v>574</v>
      </c>
      <c r="D8" s="4" t="str">
        <f aca="false">IF(ABS(B8-C8)/C8&lt;0.01,"PASS","FAIL")</f>
        <v>PASS</v>
      </c>
    </row>
    <row r="9" customFormat="false" ht="15" hidden="false" customHeight="true" outlineLevel="0" collapsed="false">
      <c r="A9" s="3" t="s">
        <v>273</v>
      </c>
      <c r="B9" s="28" t="n">
        <f aca="false">B6+B7+B8</f>
        <v>105079.366666667</v>
      </c>
      <c r="C9" s="9" t="n">
        <v>105079</v>
      </c>
      <c r="D9" s="4" t="str">
        <f aca="false">IF(ABS(B9-C9)/C9&lt;0.01,"PASS","FAIL")</f>
        <v>PASS</v>
      </c>
    </row>
    <row r="10" customFormat="false" ht="15" hidden="false" customHeight="true" outlineLevel="0" collapsed="false">
      <c r="A10" s="3" t="s">
        <v>274</v>
      </c>
      <c r="B10" s="28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IF(ABS(B10-C10)/C10&lt;0.01,"PASS","FAIL")</f>
        <v>PASS</v>
      </c>
    </row>
    <row r="11" customFormat="false" ht="15" hidden="false" customHeight="true" outlineLevel="0" collapsed="false">
      <c r="A11" s="3" t="s">
        <v>275</v>
      </c>
      <c r="B11" s="28" t="n">
        <f aca="false">0.25*RateCard!$B$22+0.75*RateCard!$B$24</f>
        <v>675000</v>
      </c>
      <c r="C11" s="9" t="n">
        <v>675000</v>
      </c>
      <c r="D11" s="4" t="str">
        <f aca="false">IF(ABS(B11-C11)/C11&lt;0.01,"PASS","FAIL")</f>
        <v>PASS</v>
      </c>
    </row>
    <row r="12" customFormat="false" ht="15" hidden="false" customHeight="true" outlineLevel="0" collapsed="false">
      <c r="A12" s="3" t="s">
        <v>276</v>
      </c>
      <c r="B12" s="28" t="n">
        <f aca="false">(0.25*RateCard!$B$23+0.75*RateCard!$B$25)/12</f>
        <v>4166.64583333333</v>
      </c>
      <c r="C12" s="9" t="n">
        <v>4167</v>
      </c>
      <c r="D12" s="4" t="str">
        <f aca="false">IF(ABS(B12-C12)/C12&lt;0.01,"PASS","FAIL")</f>
        <v>PASS</v>
      </c>
    </row>
    <row r="13" customFormat="false" ht="15" hidden="false" customHeight="true" outlineLevel="0" collapsed="false">
      <c r="A13" s="3" t="s">
        <v>277</v>
      </c>
      <c r="B13" s="28" t="n">
        <f aca="false">(1*14.4+1*RateCard!$B$26)*RateCard!$B$28</f>
        <v>7320</v>
      </c>
      <c r="C13" s="9" t="n">
        <v>7320</v>
      </c>
      <c r="D13" s="4" t="str">
        <f aca="false">IF(ABS(B13-C13)/C13&lt;0.01,"PASS","FAIL")</f>
        <v>PASS</v>
      </c>
    </row>
    <row r="14" customFormat="false" ht="15" hidden="false" customHeight="true" outlineLevel="0" collapsed="false">
      <c r="A14" s="3" t="s">
        <v>278</v>
      </c>
      <c r="B14" s="28" t="n">
        <f aca="false">RateCard!$B$29+RateCard!$B$30*(1+0.75)/36</f>
        <v>3097.22222222222</v>
      </c>
      <c r="C14" s="9" t="n">
        <v>3097</v>
      </c>
      <c r="D14" s="4" t="str">
        <f aca="false">IF(ABS(B14-C14)/C14&lt;0.01,"PASS","FAIL")</f>
        <v>PASS</v>
      </c>
    </row>
    <row r="15" customFormat="false" ht="15" hidden="false" customHeight="true" outlineLevel="0" collapsed="false">
      <c r="A15" s="3" t="s">
        <v>279</v>
      </c>
      <c r="B15" s="28" t="n">
        <f aca="false">1/RateCard!$B$31*RateCard!$B$32/12</f>
        <v>1575</v>
      </c>
      <c r="C15" s="9" t="n">
        <v>1575</v>
      </c>
      <c r="D15" s="4" t="str">
        <f aca="false">IF(ABS(B15-C15)/C15&lt;0.01,"PASS","FAIL")</f>
        <v>PASS</v>
      </c>
    </row>
    <row r="16" customFormat="false" ht="15" hidden="false" customHeight="true" outlineLevel="0" collapsed="false">
      <c r="A16" s="3" t="s">
        <v>280</v>
      </c>
      <c r="B16" s="28" t="n">
        <f aca="false">B13+B14+B15</f>
        <v>11992.2222222222</v>
      </c>
      <c r="C16" s="9" t="n">
        <v>11992</v>
      </c>
      <c r="D16" s="4" t="str">
        <f aca="false">IF(ABS(B16-C16)/C16&lt;0.01,"PASS","FAIL")</f>
        <v>PASS</v>
      </c>
    </row>
    <row r="17" customFormat="false" ht="15" hidden="false" customHeight="true" outlineLevel="0" collapsed="false">
      <c r="A17" s="3" t="s">
        <v>281</v>
      </c>
      <c r="B17" s="28" t="n">
        <f aca="false">1*RateCard!$B$33</f>
        <v>11387</v>
      </c>
      <c r="C17" s="9" t="n">
        <v>11387</v>
      </c>
      <c r="D17" s="4" t="str">
        <f aca="false">IF(ABS(B17-C17)/C17&lt;0.01,"PASS","FAIL")</f>
        <v>PASS</v>
      </c>
    </row>
    <row r="18" customFormat="false" ht="15" hidden="false" customHeight="true" outlineLevel="0" collapsed="false">
      <c r="A18" s="3" t="s">
        <v>282</v>
      </c>
      <c r="B18" s="28" t="n">
        <f aca="false">B10*0.0281</f>
        <v>38210.1833</v>
      </c>
      <c r="C18" s="9" t="n">
        <v>38210</v>
      </c>
      <c r="D18" s="4" t="str">
        <f aca="false">IF(ABS(B18-C18)/C18&lt;0.01,"PASS","FAIL")</f>
        <v>PASS</v>
      </c>
    </row>
    <row r="19" customFormat="false" ht="15" hidden="false" customHeight="true" outlineLevel="0" collapsed="false">
      <c r="A19" s="3" t="s">
        <v>283</v>
      </c>
      <c r="B19" s="28" t="n">
        <f aca="false">B11*0.0281+B12</f>
        <v>23134.1458333333</v>
      </c>
      <c r="C19" s="9" t="n">
        <v>23135</v>
      </c>
      <c r="D19" s="4" t="str">
        <f aca="false">IF(ABS(B19-C19)/C19&lt;0.01,"PASS","FAIL")</f>
        <v>PASS</v>
      </c>
    </row>
    <row r="20" customFormat="false" ht="15" hidden="false" customHeight="true" outlineLevel="0" collapsed="false">
      <c r="A20" s="3" t="s">
        <v>284</v>
      </c>
      <c r="B20" s="28" t="n">
        <f aca="false">B18+B19+B16</f>
        <v>73336.5513555556</v>
      </c>
      <c r="C20" s="9" t="n">
        <v>73337</v>
      </c>
      <c r="D20" s="4" t="str">
        <f aca="false">IF(ABS(B20-C20)/C20&lt;0.01,"PASS","FAIL")</f>
        <v>PASS</v>
      </c>
    </row>
    <row r="22" customFormat="false" ht="15" hidden="false" customHeight="true" outlineLevel="0" collapsed="false">
      <c r="A22" s="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2026-08-05T20:14:35Z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