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teCard" sheetId="2" state="visible" r:id="rId4"/>
    <sheet name="CloudRates" sheetId="3" state="visible" r:id="rId5"/>
    <sheet name="Hardware" sheetId="4" state="visible" r:id="rId6"/>
    <sheet name="PerfFactors" sheetId="5" state="visible" r:id="rId7"/>
    <sheet name="Inputs" sheetId="6" state="visible" r:id="rId8"/>
    <sheet name="Engine" sheetId="7" state="visible" r:id="rId9"/>
    <sheet name="Results" sheetId="8" state="visible" r:id="rId10"/>
    <sheet name="Validation" sheetId="9" state="visible" r:id="rId11"/>
    <sheet name="EngineRegression" sheetId="10" state="visible" r:id="rId12"/>
    <sheet name="Crossover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<sst xmlns="http://schemas.openxmlformats.org/spreadsheetml/2006/main" count="431" uniqueCount="396">
  <si>
    <t xml:space="preserve">Reverse TCO Tool v1 — Cloud AIaaS Spend to On-Prem NVIDIA Infrastructure</t>
  </si>
  <si>
    <t xml:space="preserve">PURPOSE: Start from a customer's current cloud AI spend and output (a) the on-prem NVIDIA fleet required to absorb the workload and (b) cost of ownership vs. continuing to rent, over 1/3/5 years.</t>
  </si>
  <si>
    <t xml:space="preserve">HOW TO USE:</t>
  </si>
  <si>
    <t xml:space="preserve">1. Go to the Inputs tab. Yellow cells are for you to edit. Tier 1 needs only monthly spend + provider; every other yellow cell has a working default.</t>
  </si>
  <si>
    <t xml:space="preserve">2. Results tab shows the comparison: floor case (no performance factors) first, then the adjusted case.</t>
  </si>
  <si>
    <t xml:space="preserve">3. RateCard, Hardware, and PerfFactors tabs hold every price and assumption (blue text = editable data). Update them as prices change; nothing is hardcoded in formulas.</t>
  </si>
  <si>
    <t xml:space="preserve">4. Validation tab reproduces NVIDIA's DGX TCO tool Test 1 from the same rate card. All checks must read PASS before customer use.</t>
  </si>
  <si>
    <t xml:space="preserve">COLOR LEGEND:</t>
  </si>
  <si>
    <t xml:space="preserve">  Blue text = editable data value (rate card, registry, factors)</t>
  </si>
  <si>
    <t xml:space="preserve">  Yellow fill = customer/analysis input cell (Inputs tab)</t>
  </si>
  <si>
    <t xml:space="preserve">  Green text = formula linking to another tab</t>
  </si>
  <si>
    <t xml:space="preserve">  Black text = same-tab formula</t>
  </si>
  <si>
    <t xml:space="preserve">V1 SCOPE NOTES:</t>
  </si>
  <si>
    <t xml:space="preserve">  - Priced on-prem system: DGX B200 (other systems listed in Hardware are placeholders until priced).</t>
  </si>
  <si>
    <t xml:space="preserve">  - Cloud rates live on the CloudRates sheet (AWS only in this reference workbook — non-AWS selections deliberately hard-stop; the web calculator routes all five providers). B200 row preserves the NVIDIA DGX TCO tool snapshot (Jul 2026).</t>
  </si>
  <si>
    <t xml:space="preserve">  - Financing: optional. Enter a day-of lease rate factor + term on Inputs to add a leased view; blank = capex view only.</t>
  </si>
  <si>
    <t xml:space="preserve">  - Fleet is sized for current workload; growth consumes headroom (Results shows headroom-exhaustion year). Auto-adding systems in later years is a v2 feature.</t>
  </si>
  <si>
    <t xml:space="preserve">  - Minimum-viable-spend qualification threshold: v2 (web version).</t>
  </si>
  <si>
    <t xml:space="preserve">SOURCES: NVIDIA DGX TCO tool defaults (extracted Aug 2026); MLPerf-derived performance factors (see PerfFactors tab notes).</t>
  </si>
  <si>
    <t xml:space="preserve">V2.0 WORKBOOK UPDATES (external audit response): harmonic workload blend in Engine!B10; lease view now shows lease + opex total; residual excludes professional services; EngineRegression sheet exercises the LIVE engine against a Test 1 fixture; fleet expansion under growth remains NOT modeled in the workbook (see Results warning) — the deployed web engine v2.0 models it dynamically.</t>
  </si>
  <si>
    <t xml:space="preserve">Hardware registry note: only rows marked Priced?=YES are valid selections; placeholder rows produce nonsensical results and are guarded in the web app.</t>
  </si>
  <si>
    <t xml:space="preserve">V2.1 (audit round 3): floor-case headroom/exhaustion computed separately and warning keys on the EARLIER exhaustion; payback shows no-crossover text instead of negative months; spend/storage reconciliation (Engine STEP 8 + Results row 32) flags storage inconsistent with the stated bill; unpriced hardware now hard-errors (NA error); residual also excludes the software suite; provider and lease-term fields labeled for scope; regression coverage extended.</t>
  </si>
  <si>
    <t xml:space="preserve">SCOPE (v2.2): this workbook is the AUDITABLE REFERENCE IMPLEMENTATION for the core sizing and TCO formulas. The deployed web application extends it with dynamic fleet growth under demand, five-provider rate routing, capacity/unit-economics estimates and UI-level validation. True end-to-end parity requires the automated Excel↔JavaScript fixture suite (deploy-phase item).</t>
  </si>
  <si>
    <t xml:space="preserve">GROWTH CONVENTION (documented, both engines): cloud compute spend grows at the selected demand-growth rate; cloud non-compute spend and all on-prem opex grow at the 4%/yr ops rate. Crossover (Results!B26) is computed from cumulative monthly cash flows on the Crossover sheet; static payback is retained as a secondary metric only. Equinix bundle note: per-DGX rate covers system colocation; separate storage-rack colocation is not separately modeled (storage support is).</t>
  </si>
  <si>
    <t xml:space="preserve">V2.3 (audit round 5): CloudRates sheet — blended rate routed by selected GPU class (was hardwired to B200 rates, the round-5 P0); Crossover rebuilt on the STATED bill baseline with RateCard-referenced growth (hardcoded 1.04 removed); Tier-1 storage Auto mode derives PB from the bill (Known mode preserves Tier 2/3 entry); crossover suppressed when adjusted capacity exhausts before breakeven; fixture check includes storage mode; crossover regression check + 5-scenario manual checklist added; Validation tolerance tightened to MAX($1, 0.01%).</t>
  </si>
  <si>
    <t xml:space="preserve">V2.4 (audit round 6): B200 split from B300 — class renamed to plain B200, B300 blocked from the workbook rent-side via data validation pending a benchmark-derived B300→B200 factor (web calculator offers B300 with EST-flagged rates and provisional index — a deliberate reference-vs-product scope split); CloudRates carries per-price confidence (OD LISTED-tracker, 1-yr EST-derived, B200 SNAPSHOT); provider hard-stop — non-AWS selection deliberately NA-errors the calculation with a visible Results guard message; S2 regression rewritten as a cell-level check; Validation header tolerance sentence corrected.</t>
  </si>
  <si>
    <t xml:space="preserve">V2.5 (audit round 7): horizon totals suppress to explicit N/A when the static fleet is known-insufficient (per case, per horizon — adjusted AND floor); formula-level GPU-class guard catches pasted values that bypass data validation (Results row 35 + crossover short-circuit); stale B200/B300-class references cleaned; GPU count read from CloudRates registry; rack-setup amortization months promoted to an editable RateCard field; README provider language updated.</t>
  </si>
  <si>
    <t xml:space="preserve">SCOPE NOTES (v2.6): (a) Equinix branch — the $11,387/system/mo bundle covers system colocation; incremental storage-rack colocation/power beyond the bundle is NOT separately modeled (disclosed assumption; storage-heavy Equinix scenarios may run somewhat higher than shown). (b) Confidence ranges — Tier 1/2 range display remains a ROADMAP item for the web application; both engines currently output point estimates, with uncertainty carried via rate confidence labels and the floor-vs-adjusted spread rather than numeric ranges.</t>
  </si>
  <si>
    <t xml:space="preserve">V2.6 (audit round 8): master input guard (Engine!B63) — formulas refuse impossible states even when pasted past data validation (zero spend/compute-share/utilization, &gt;100% residual, invalid facility/mode/hardware); all six horizon-total cells master-guarded to 'N/A — see input guard' instead of raw errors; data validations tightened (spend &gt; 0, compute share &gt; 0, facility/provider lists); Results TCO table reordered FLOOR FIRST per the design spec's credibility-anchor principle; spec Step 6 growth wording, Rate Card B200 row, and Open Question 4 rewritten in place.</t>
  </si>
  <si>
    <t xml:space="preserve">V2.7 (audit round 9 — final input-hardening pass): master guard extended with ISNUMBER + range checks for power rate (≥0), all three performance factors at their documented NVIDIA ranges (1-2.5 / 1-10 / 1-5 — guard and documentation now agree), Tier-3 GPU-hours (≥0), and lease factor/term (positive when populated); ALL remaining visible Results key-figure rows (systems, capex, headroom, exhaustion, displaced storage, lease view, one-time, residual, earliest-exhaustion, reconciliation, static payback) master-guarded so an invalid pasted input produces zero raw Excel errors anywhere on Results. Note: Excel compares text greater than numbers, so every guarded numeric field carries an explicit ISNUMBER check.</t>
  </si>
  <si>
    <t xml:space="preserve">Rate Card — all editable (blue). Effective date + source in column C.</t>
  </si>
  <si>
    <t xml:space="preserve">Value</t>
  </si>
  <si>
    <t xml:space="preserve">Source / note</t>
  </si>
  <si>
    <t xml:space="preserve">CLOUD (AWS, B200-class 8-GPU instance; NVIDIA TCO tool defaults Jul 2026)</t>
  </si>
  <si>
    <t xml:space="preserve">Instance rate, on-demand ($/instance-hr) — B200 REFERENCE ROW; Engine uses CloudRates lookup since v2.3</t>
  </si>
  <si>
    <t xml:space="preserve">p6-b200.48xlarge class; NVIDIA TCO tool</t>
  </si>
  <si>
    <t xml:space="preserve">Instance rate, 1-yr reserved ($/instance-hr) — B200 REFERENCE ROW; Engine uses CloudRates lookup since v2.3</t>
  </si>
  <si>
    <t xml:space="preserve">NVIDIA TCO tool</t>
  </si>
  <si>
    <t xml:space="preserve">NVAIE support, on-demand ($/instance-hr)</t>
  </si>
  <si>
    <t xml:space="preserve">NVAIE support, 1-yr reserved ($/instance-hr)</t>
  </si>
  <si>
    <t xml:space="preserve">Fast storage ($/GB/mo)</t>
  </si>
  <si>
    <t xml:space="preserve">Parallel FS class</t>
  </si>
  <si>
    <t xml:space="preserve">Bulk storage ($/GB/mo)</t>
  </si>
  <si>
    <t xml:space="preserve">Object class</t>
  </si>
  <si>
    <t xml:space="preserve">Egress ($/GB)</t>
  </si>
  <si>
    <t xml:space="preserve">Egress volume (% of stored per month)</t>
  </si>
  <si>
    <t xml:space="preserve">NVIDIA default 5%</t>
  </si>
  <si>
    <t xml:space="preserve">Cloud admin FTE, fully loaded ($/yr)</t>
  </si>
  <si>
    <t xml:space="preserve">Billing/mgmt software ($/yr)</t>
  </si>
  <si>
    <t xml:space="preserve">Cloud admin overhead (FTE)</t>
  </si>
  <si>
    <t xml:space="preserve">Implied by NVIDIA Test 1 ($574/mo total admin)</t>
  </si>
  <si>
    <t xml:space="preserve">PaaS uplift (% over raw instance price)</t>
  </si>
  <si>
    <t xml:space="preserve">0 default; SageMaker/Vertex-style platforms typically 15-30%</t>
  </si>
  <si>
    <t xml:space="preserve">GPUs per cloud instance — LEGACY reference; Engine reads CloudRates!E per class since v2.5</t>
  </si>
  <si>
    <t xml:space="preserve">ON-PREM (DGX B200 reference; NVIDIA TCO tool defaults Jul 2026)</t>
  </si>
  <si>
    <t xml:space="preserve">Cluster management server nodes ($/cluster, fixed)</t>
  </si>
  <si>
    <t xml:space="preserve">Charged once per cluster</t>
  </si>
  <si>
    <t xml:space="preserve">Professional services &amp; installation ($/system)</t>
  </si>
  <si>
    <t xml:space="preserve">Rack + PDUs ($/rack, compute)</t>
  </si>
  <si>
    <t xml:space="preserve">Storage rack cost is inside storage $/PB</t>
  </si>
  <si>
    <t xml:space="preserve">Fast storage hardware+software ($/PB)</t>
  </si>
  <si>
    <t xml:space="preserve">Incl. chassis, rack, cables</t>
  </si>
  <si>
    <t xml:space="preserve">Fast storage support ($/PB/yr)</t>
  </si>
  <si>
    <t xml:space="preserve">Bulk storage hardware+software ($/PB)</t>
  </si>
  <si>
    <t xml:space="preserve">Bulk storage support ($/PB/yr)</t>
  </si>
  <si>
    <t xml:space="preserve">Storage power (kW per PB)</t>
  </si>
  <si>
    <t xml:space="preserve">Storage racks per PB</t>
  </si>
  <si>
    <t xml:space="preserve">Used for per-rack setup cost only</t>
  </si>
  <si>
    <t xml:space="preserve">Power cost ($/kW-month, fully loaded)</t>
  </si>
  <si>
    <t xml:space="preserve">NVIDIA conservative default (~$0.41/kWh); override on Inputs</t>
  </si>
  <si>
    <t xml:space="preserve">Networking / VPN / firewall ($/mo)</t>
  </si>
  <si>
    <t xml:space="preserve">Initial setup ($/rack, one-time; amortized over 36 mo)</t>
  </si>
  <si>
    <t xml:space="preserve">Admin ratio (systems per FTE)</t>
  </si>
  <si>
    <t xml:space="preserve">On-prem admin FTE, fully loaded ($/yr)</t>
  </si>
  <si>
    <t xml:space="preserve">Equinix Private AI bundle ($/system/mo)</t>
  </si>
  <si>
    <t xml:space="preserve">Colo + air/liquid cooling + interconnect + managed services; replaces power, facility, and admin lines</t>
  </si>
  <si>
    <t xml:space="preserve">OPERATING BASIS</t>
  </si>
  <si>
    <t xml:space="preserve">Hours per month</t>
  </si>
  <si>
    <t xml:space="preserve">24 x 365 / 12</t>
  </si>
  <si>
    <t xml:space="preserve">Ops/admin cost growth (%/yr, both sides)</t>
  </si>
  <si>
    <t xml:space="preserve">NVIDIA default</t>
  </si>
  <si>
    <t xml:space="preserve">Rack setup amortization (months)</t>
  </si>
  <si>
    <t xml:space="preserve">Cloud instance rates by GPU class — AWS (workbook scope)</t>
  </si>
  <si>
    <t xml:space="preserve">GPU class</t>
  </si>
  <si>
    <t xml:space="preserve">Instance</t>
  </si>
  <si>
    <t xml:space="preserve">OD $/instance-hr</t>
  </si>
  <si>
    <t xml:space="preserve">1-yr $/instance-hr</t>
  </si>
  <si>
    <t xml:space="preserve">GPUs</t>
  </si>
  <si>
    <t xml:space="preserve">OD confidence</t>
  </si>
  <si>
    <t xml:space="preserve">1-yr confidence</t>
  </si>
  <si>
    <t xml:space="preserve">As of</t>
  </si>
  <si>
    <t xml:space="preserve">A100</t>
  </si>
  <si>
    <t xml:space="preserve">p4d.24xlarge</t>
  </si>
  <si>
    <t xml:space="preserve">LISTED — secondary tracker</t>
  </si>
  <si>
    <t xml:space="preserve">EST — 40% off OD assumption</t>
  </si>
  <si>
    <t xml:space="preserve">Jul-Aug 2026</t>
  </si>
  <si>
    <t xml:space="preserve">H100</t>
  </si>
  <si>
    <t xml:space="preserve">p5.48xlarge</t>
  </si>
  <si>
    <t xml:space="preserve">H200</t>
  </si>
  <si>
    <t xml:space="preserve">p5e.48xlarge</t>
  </si>
  <si>
    <t xml:space="preserve">B200</t>
  </si>
  <si>
    <t xml:space="preserve">p6-b200.48xlarge</t>
  </si>
  <si>
    <t xml:space="preserve">SNAPSHOT — NVIDIA TCO tool</t>
  </si>
  <si>
    <t xml:space="preserve">Jul 2026</t>
  </si>
  <si>
    <t xml:space="preserve">v2.4: each price carries its own provenance — AWS sells On-Demand, Savings Plans and Capacity Blocks as distinct purchasing constructs, so an assumed 40%-off rate is labeled EST, never implied as an AWS-listed reserved price. B200 row = NVIDIA TCO tool snapshot (both prices). NVAIE support stays on RateCard (B6/B7, per instance-hr). B300 is intentionally absent: workbook blocks it pending a benchmark-derived factor; the web calculator offers it with EST-flagged rates and a provisional capability index.</t>
  </si>
  <si>
    <t xml:space="preserve">On-Prem System Registry — add rows as new systems are priced (blue = editable)</t>
  </si>
  <si>
    <t xml:space="preserve">System</t>
  </si>
  <si>
    <t xml:space="preserve">System cost</t>
  </si>
  <si>
    <t xml:space="preserve">SW suite</t>
  </si>
  <si>
    <t xml:space="preserve">Compute fabric</t>
  </si>
  <si>
    <t xml:space="preserve">Storage fabric</t>
  </si>
  <si>
    <t xml:space="preserve">Mgmt fabric</t>
  </si>
  <si>
    <t xml:space="preserve">kW per system (avg)</t>
  </si>
  <si>
    <t xml:space="preserve">Sys/rack</t>
  </si>
  <si>
    <t xml:space="preserve">Priced?</t>
  </si>
  <si>
    <t xml:space="preserve">Note</t>
  </si>
  <si>
    <t xml:space="preserve">DGX B200</t>
  </si>
  <si>
    <t xml:space="preserve">YES</t>
  </si>
  <si>
    <t xml:space="preserve">NVIDIA TCO tool Jul 2026</t>
  </si>
  <si>
    <t xml:space="preserve">DGX B300</t>
  </si>
  <si>
    <t xml:space="preserve">NO</t>
  </si>
  <si>
    <t xml:space="preserve">Placeholder — price before selecting</t>
  </si>
  <si>
    <t xml:space="preserve">DGX H200</t>
  </si>
  <si>
    <t xml:space="preserve">DGX GB200 NVL-72</t>
  </si>
  <si>
    <t xml:space="preserve">Cloud GPU class list (drives PerfFactors lookups; keep in sync with PerfFactors rows):</t>
  </si>
  <si>
    <t xml:space="preserve">Generational performance factors: cloud GPU class -&gt; DGX B200 target (blue = editable)</t>
  </si>
  <si>
    <t xml:space="preserve">Cloud GPU class</t>
  </si>
  <si>
    <t xml:space="preserve">Training (default)</t>
  </si>
  <si>
    <t xml:space="preserve">Training (max)</t>
  </si>
  <si>
    <t xml:space="preserve">Inference (default)</t>
  </si>
  <si>
    <t xml:space="preserve">Inference (max)</t>
  </si>
  <si>
    <t xml:space="preserve">Chained: A100-&gt;H100 (2.0x train / 3.0x infer, conservative from MLPerf 4.5x max) x H100-&gt;B200</t>
  </si>
  <si>
    <t xml:space="preserve">MLPerf v4.1: 2.0-2.2x training. Inference 4x MLPerf; 15x = NVIDIA best-case FP4</t>
  </si>
  <si>
    <t xml:space="preserve">Derived: H100 factors / H200-vs-H100 (1.4-1.47x train, ~1.4x infer)</t>
  </si>
  <si>
    <t xml:space="preserve">Like-for-like silicon</t>
  </si>
  <si>
    <t xml:space="preserve">Rule: defaults = MLPerf-audited/derived (conservative); max = NVIDIA marketing upper bound. Floor case in Results ignores this table entirely (all factors = 1.0).</t>
  </si>
  <si>
    <t xml:space="preserve">Additional multiplicative factors (network / AI Factory software / NVAIE) are set on the Inputs tab with NVIDIA's range-default-breakeven guidance.</t>
  </si>
  <si>
    <t xml:space="preserve">Customer &amp; Analysis Inputs — edit YELLOW cells only</t>
  </si>
  <si>
    <t xml:space="preserve">Guidance</t>
  </si>
  <si>
    <t xml:space="preserve">TIER 1 — required (hallway conversation)</t>
  </si>
  <si>
    <t xml:space="preserve">Monthly cloud AI spend ($)</t>
  </si>
  <si>
    <t xml:space="preserve">Approximates NVIDIA Test 1 (~1% high; exact compute share would be 49.491%)</t>
  </si>
  <si>
    <t xml:space="preserve">Primary provider</t>
  </si>
  <si>
    <t xml:space="preserve">AWS</t>
  </si>
  <si>
    <t xml:space="preserve">AWS ONLY in this workbook — any other selection deliberately stops the calculation (NA errors). Use the web calculator for Azure / GCP / OCI / CoreWeave.</t>
  </si>
  <si>
    <t xml:space="preserve">TIER 2 — refine when known (defaults otherwise)</t>
  </si>
  <si>
    <t xml:space="preserve">Current cloud GPU class</t>
  </si>
  <si>
    <t xml:space="preserve">A100 / H100 / H200 / B200 only. B300 renters: use the web calculator — the workbook blocks B300 pending a benchmark-derived B300→B200 factor (audit round 6).</t>
  </si>
  <si>
    <t xml:space="preserve">Workload mix: training share (%)</t>
  </si>
  <si>
    <t xml:space="preserve">Inference share = 1 - this. Gates the generational factor.</t>
  </si>
  <si>
    <t xml:space="preserve">Commitment mix: on-demand share (%)</t>
  </si>
  <si>
    <t xml:space="preserve">Remainder priced at 1-yr reserved rates</t>
  </si>
  <si>
    <t xml:space="preserve">Total storage (PB)</t>
  </si>
  <si>
    <t xml:space="preserve">Used only when Storage mode = Known (Inputs!B38); Auto derives PB from the bill</t>
  </si>
  <si>
    <t xml:space="preserve">Fast storage share (%)</t>
  </si>
  <si>
    <t xml:space="preserve">Remainder is bulk</t>
  </si>
  <si>
    <t xml:space="preserve">Compute share of monthly bill (%)</t>
  </si>
  <si>
    <t xml:space="preserve">Tier-1 decomposition default (NVIDIA Test 1 derived); storage+admin = remainder</t>
  </si>
  <si>
    <t xml:space="preserve">Annual compute growth (%)</t>
  </si>
  <si>
    <t xml:space="preserve">Almost no AI consumption is flat; 0% = NVIDIA's assumption</t>
  </si>
  <si>
    <t xml:space="preserve">Facility</t>
  </si>
  <si>
    <t xml:space="preserve">Self-hosted</t>
  </si>
  <si>
    <t xml:space="preserve">Self-hosted or Equinix</t>
  </si>
  <si>
    <t xml:space="preserve">Power rate override ($/kW-month)</t>
  </si>
  <si>
    <t xml:space="preserve">Self-hosted only. NVIDIA default 300; SLED muni power often 150-200</t>
  </si>
  <si>
    <t xml:space="preserve">Target on-prem utilization (%)</t>
  </si>
  <si>
    <t xml:space="preserve">De-rated from NVIDIA's implicit 100% for realism</t>
  </si>
  <si>
    <t xml:space="preserve">On-prem system (from Hardware registry)</t>
  </si>
  <si>
    <t xml:space="preserve">Only priced systems (Hardware col J = YES)</t>
  </si>
  <si>
    <t xml:space="preserve">TIER 3 — validated analysis (overrides)</t>
  </si>
  <si>
    <t xml:space="preserve">Actual monthly GPU-hours (from invoice; 0 = not provided)</t>
  </si>
  <si>
    <t xml:space="preserve">If &gt; 0, overrides the spend-based reconstruction</t>
  </si>
  <si>
    <t xml:space="preserve">PERFORMANCE FACTORS (beyond generational; NVIDIA range / default / breakeven)</t>
  </si>
  <si>
    <t xml:space="preserve">Network (RA InfiniBand) factor</t>
  </si>
  <si>
    <t xml:space="preserve">Range 1-2.5x; NVIDIA default 1.5x; breakeven 1.05x. Keep 1.0 for single-node/inference-only shops</t>
  </si>
  <si>
    <t xml:space="preserve">AI Factory software (Run:ai/BCM) factor</t>
  </si>
  <si>
    <t xml:space="preserve">Range 1-10x; default 1.3x (util 70-&gt;90%); breakeven 1.1x</t>
  </si>
  <si>
    <t xml:space="preserve">NVAIE / NIMs factor</t>
  </si>
  <si>
    <t xml:space="preserve">Range 1-5x; default 1.3x; breakeven 1.1x</t>
  </si>
  <si>
    <t xml:space="preserve">FINANCING (optional — leave factor blank for capex-only view)</t>
  </si>
  <si>
    <t xml:space="preserve">Lease rate factor (monthly, day-of quote)</t>
  </si>
  <si>
    <t xml:space="preserve">e.g., NVIDIA illustrative 3-yr factor was 0.0281. Blank = no lease view</t>
  </si>
  <si>
    <t xml:space="preserve">Lease term (months)</t>
  </si>
  <si>
    <t xml:space="preserve">Informational only — not used in any workbook calculation (web/deploy-phase financing field)</t>
  </si>
  <si>
    <t xml:space="preserve">V1.2 — TRANSITION, FACILITY, RESILIENCE, RESIDUAL</t>
  </si>
  <si>
    <t xml:space="preserve">Facility retrofit, one-time ($; self-hosted retrofit only, else 0)</t>
  </si>
  <si>
    <t xml:space="preserve">~$10-15K per kW of new capacity; 2 DGX/rack = ~29 kW/rack</t>
  </si>
  <si>
    <t xml:space="preserve">Migration engineering, one-time ($)</t>
  </si>
  <si>
    <t xml:space="preserve">MLOps re-platforming; scale with workload complexity</t>
  </si>
  <si>
    <t xml:space="preserve">Dual-run period (months)</t>
  </si>
  <si>
    <t xml:space="preserve">Customer pays cloud AND on-prem during migration</t>
  </si>
  <si>
    <t xml:space="preserve">N+1 redundancy (1 = yes, 0 = no)</t>
  </si>
  <si>
    <t xml:space="preserve">Adds one system to both fleets; material at small scale</t>
  </si>
  <si>
    <t xml:space="preserve">Residual value (% of systems + storage capex at horizon)</t>
  </si>
  <si>
    <t xml:space="preserve">Flat % simplification; excludes cluster nodes/racks/one-time</t>
  </si>
  <si>
    <t xml:space="preserve">Storage mode (Auto = derive PB from bill; Known = use entered PB)</t>
  </si>
  <si>
    <t xml:space="preserve">Auto</t>
  </si>
  <si>
    <t xml:space="preserve">v2.3: Tier 1 is a true two-input model — Auto sizes storage from the non-compute share of the bill; enter Known + PB for Tier 2/3 precision</t>
  </si>
  <si>
    <t xml:space="preserve">Calculation Engine — no edits here (green = cross-tab links)</t>
  </si>
  <si>
    <t xml:space="preserve">Logic</t>
  </si>
  <si>
    <t xml:space="preserve">STEP 1 — Normalize spend to cloud GPU-hours</t>
  </si>
  <si>
    <t xml:space="preserve">Blended cloud rate ($/instance-hr)</t>
  </si>
  <si>
    <t xml:space="preserve">v2.4: hard-stops (NA) for non-AWS providers — prevents screenshotting AWS math under another provider's name; v2.3 class routing retained</t>
  </si>
  <si>
    <t xml:space="preserve">Estimated monthly compute spend ($)</t>
  </si>
  <si>
    <t xml:space="preserve">Bill x compute share</t>
  </si>
  <si>
    <t xml:space="preserve">Instance-hours per month</t>
  </si>
  <si>
    <t xml:space="preserve">Cloud GPU-hours per month</t>
  </si>
  <si>
    <t xml:space="preserve">v2.5: GPU count read from the CloudRates registry row (was legacy RateCard!B16 constant)</t>
  </si>
  <si>
    <t xml:space="preserve">STEP 2 — Net Performance Factor</t>
  </si>
  <si>
    <t xml:space="preserve">Generational factor (workload-weighted)</t>
  </si>
  <si>
    <t xml:space="preserve">v2.0: harmonic blend — workload shares are GPU-hour shares (audit P0-2)</t>
  </si>
  <si>
    <t xml:space="preserve">Net Performance Factor (NPF)</t>
  </si>
  <si>
    <t xml:space="preserve">x network x AI Factory SW x NVAIE</t>
  </si>
  <si>
    <t xml:space="preserve">Effective on-prem GPU-hours needed</t>
  </si>
  <si>
    <t xml:space="preserve">Floor-case GPU-hours (NPF = 1.0)</t>
  </si>
  <si>
    <t xml:space="preserve">Credibility anchor</t>
  </si>
  <si>
    <t xml:space="preserve">STEP 3 — Fleet sizing</t>
  </si>
  <si>
    <t xml:space="preserve">GPUs per on-prem system</t>
  </si>
  <si>
    <t xml:space="preserve">GPU-hours per system per month</t>
  </si>
  <si>
    <t xml:space="preserve">GPUs x 730 x target utilization</t>
  </si>
  <si>
    <t xml:space="preserve">Systems required (adjusted case)</t>
  </si>
  <si>
    <t xml:space="preserve">Systems required (floor case)</t>
  </si>
  <si>
    <t xml:space="preserve">Growth headroom (adjusted case)</t>
  </si>
  <si>
    <t xml:space="preserve">v2.2: headroom uses PRODUCTIVE systems (total − N+1 spare); spare capacity is not growth capacity</t>
  </si>
  <si>
    <t xml:space="preserve">STEP 4 — Storage</t>
  </si>
  <si>
    <t xml:space="preserve">Fast storage (PB)</t>
  </si>
  <si>
    <t xml:space="preserve">Bulk storage (PB)</t>
  </si>
  <si>
    <t xml:space="preserve">Cloud storage + egress cost ($/mo, reconstructed)</t>
  </si>
  <si>
    <t xml:space="preserve">Disappears on-prem (egress ~ $0)</t>
  </si>
  <si>
    <t xml:space="preserve">Cloud admin ($/mo, reconstructed)</t>
  </si>
  <si>
    <t xml:space="preserve">STEP 5 — On-prem cost stack (ADJUSTED case)</t>
  </si>
  <si>
    <t xml:space="preserve">Per-system acquisition ($)</t>
  </si>
  <si>
    <t xml:space="preserve">v2.2 guard: requires Hardware Priced?=YES and GPU count &gt; 0; otherwise deliberate NA error</t>
  </si>
  <si>
    <t xml:space="preserve">Compute racks</t>
  </si>
  <si>
    <t xml:space="preserve">Capex: compute + network ($)</t>
  </si>
  <si>
    <t xml:space="preserve">Incl. $ fixed cluster mgmt nodes</t>
  </si>
  <si>
    <t xml:space="preserve">Capex: storage ($)</t>
  </si>
  <si>
    <t xml:space="preserve">TOTAL CAPEX ($)</t>
  </si>
  <si>
    <t xml:space="preserve">System kW</t>
  </si>
  <si>
    <t xml:space="preserve">Opex: power ($/mo)</t>
  </si>
  <si>
    <t xml:space="preserve">Self-hosted branch</t>
  </si>
  <si>
    <t xml:space="preserve">Total racks (compute + storage)</t>
  </si>
  <si>
    <t xml:space="preserve">Opex: other facility ($/mo)</t>
  </si>
  <si>
    <t xml:space="preserve">Network/VPN/firewall + amortized setup</t>
  </si>
  <si>
    <t xml:space="preserve">Opex: admin ($/mo)</t>
  </si>
  <si>
    <t xml:space="preserve">Opex: storage support ($/mo)</t>
  </si>
  <si>
    <t xml:space="preserve">Both branches</t>
  </si>
  <si>
    <t xml:space="preserve">Opex: self-hosted total ($/mo)</t>
  </si>
  <si>
    <t xml:space="preserve">Opex: Equinix total ($/mo)</t>
  </si>
  <si>
    <t xml:space="preserve">Bundle incl. power, facility, managed svcs (admin = 0)</t>
  </si>
  <si>
    <t xml:space="preserve">SELECTED OPEX ($/mo)</t>
  </si>
  <si>
    <t xml:space="preserve">STEP 5b — On-prem cost stack (FLOOR case: NPF = 1.0)</t>
  </si>
  <si>
    <t xml:space="preserve">Capex ($)</t>
  </si>
  <si>
    <t xml:space="preserve">Opex: self-hosted ($/mo)</t>
  </si>
  <si>
    <t xml:space="preserve">Opex: Equinix ($/mo)</t>
  </si>
  <si>
    <t xml:space="preserve">SELECTED OPEX, floor ($/mo)</t>
  </si>
  <si>
    <t xml:space="preserve">STEP 6 — Financing (optional)</t>
  </si>
  <si>
    <t xml:space="preserve">Lease + opex, monthly total, adjusted ($/mo)</t>
  </si>
  <si>
    <t xml:space="preserve">v2.0: lease payment + selected monthly opex (audit: lease view omitted opex)</t>
  </si>
  <si>
    <t xml:space="preserve">Lease + opex, monthly total, floor ($/mo)</t>
  </si>
  <si>
    <t xml:space="preserve">STEP 7 (v1.2) — One-time costs &amp; residual</t>
  </si>
  <si>
    <t xml:space="preserve">One-time transition &amp; exit costs ($)</t>
  </si>
  <si>
    <t xml:space="preserve">Retrofit + migration + dual-run + cloud exit egress</t>
  </si>
  <si>
    <t xml:space="preserve">Residual credit at horizon, adjusted ($)</t>
  </si>
  <si>
    <t xml:space="preserve">v2.1: residual basis excludes prof services AND software suite (subscription, non-transferable)</t>
  </si>
  <si>
    <t xml:space="preserve">Residual credit at horizon, floor ($)</t>
  </si>
  <si>
    <t xml:space="preserve">STEP 8 — Spend/storage reconciliation (v2.1, audit round 3)</t>
  </si>
  <si>
    <t xml:space="preserve">Reconstructed non-compute (storage + egress + cloud admin) ($/mo)</t>
  </si>
  <si>
    <t xml:space="preserve">Non-compute budget in stated bill ($/mo)</t>
  </si>
  <si>
    <t xml:space="preserve">Reconciliation status</t>
  </si>
  <si>
    <t xml:space="preserve">Auto-derived total storage PB (from non-compute budget net of admin)</t>
  </si>
  <si>
    <t xml:space="preserve">Effective total storage PB used by the model</t>
  </si>
  <si>
    <t xml:space="preserve">MASTER INPUT GUARD v2.7 — provider, class, hardware, all numeric fields (ISNUMBER + range), perf factors per documented NVIDIA ranges (1-2.5 / 1-10 / 1-5), Tier-3 hours ≥ 0, lease factor/term positive-if-populated</t>
  </si>
  <si>
    <t xml:space="preserve">Exhaustion years, adjusted (blank growth-free)</t>
  </si>
  <si>
    <t xml:space="preserve">Exhaustion years, floor</t>
  </si>
  <si>
    <t xml:space="preserve">Results — Cloud vs. On-Prem</t>
  </si>
  <si>
    <t xml:space="preserve">All figures from Engine + Inputs. Cloud compute grows at the compute growth rate; cloud storage/admin and all on-prem opex grow at the ops growth rate.</t>
  </si>
  <si>
    <t xml:space="preserve">ANNUAL TRAJECTORY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</si>
  <si>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</si>
  <si>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</si>
  <si>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</si>
  <si>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</si>
  <si>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</si>
  <si>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Cloud cost ($/yr)</t>
  </si>
  <si>
    <t xml:space="preserve">On-prem opex, adjusted case ($/yr)</t>
  </si>
  <si>
    <t xml:space="preserve">On-prem opex, floor case ($/yr)</t>
  </si>
  <si>
    <t xml:space="preserve">TOTALS (capex view)</t>
  </si>
  <si>
    <t xml:space="preserve">1 Year</t>
  </si>
  <si>
    <t xml:space="preserve">3 Years</t>
  </si>
  <si>
    <t xml:space="preserve">5 Years</t>
  </si>
  <si>
    <t xml:space="preserve">Cloud total ($)</t>
  </si>
  <si>
    <t xml:space="preserve">On-prem total, FLOOR — credibility anchor, no performance credit (capex + one-time - residual + opex) ($)</t>
  </si>
  <si>
    <t xml:space="preserve">SAVINGS, floor case ($)</t>
  </si>
  <si>
    <t xml:space="preserve">Savings, floor case (%)</t>
  </si>
  <si>
    <t xml:space="preserve">On-prem total, ADJUSTED (capex + one-time - residual + opex) ($)</t>
  </si>
  <si>
    <t xml:space="preserve">SAVINGS, adjusted ($)</t>
  </si>
  <si>
    <t xml:space="preserve">Savings, adjusted (%)</t>
  </si>
  <si>
    <t xml:space="preserve">KEY FIGURES</t>
  </si>
  <si>
    <t xml:space="preserve">Systems required (adjusted / floor)</t>
  </si>
  <si>
    <t xml:space="preserve">Total capex, adjusted ($)</t>
  </si>
  <si>
    <t xml:space="preserve">Growth headroom in year-1 fleet (adjusted / floor)</t>
  </si>
  <si>
    <t xml:space="preserve">Years until growth exhausts headroom (adjusted / floor)</t>
  </si>
  <si>
    <t xml:space="preserve">Cloud storage + egress spend displaced by on-prem storage modeled above ($/mo)</t>
  </si>
  <si>
    <t xml:space="preserve">Crossover month (cumulative monthly cash flows, adjusted case)</t>
  </si>
  <si>
    <t xml:space="preserve">Lease view, adjusted ($/mo, if factor entered)</t>
  </si>
  <si>
    <t xml:space="preserve">⚠ WORKBOOK LIMITATION: fleet expansion under growth is NOT modeled here (web engine v2.x models it). Earliest exhaustion, either case (years):</t>
  </si>
  <si>
    <t xml:space="preserve">Totals for horizons beyond the EARLIER of the two exhaustion years understate on-prem cost (the floor case usually exhausts first — audit round 3). Treat longer-horizon results as directional only.</t>
  </si>
  <si>
    <t xml:space="preserve">Spend/storage reconciliation</t>
  </si>
  <si>
    <t xml:space="preserve">Simple static payback, adjusted (months — SECONDARY metric only)</t>
  </si>
  <si>
    <t xml:space="preserve">Provider guard</t>
  </si>
  <si>
    <t xml:space="preserve">GPU class guard</t>
  </si>
  <si>
    <t xml:space="preserve">Master input guard</t>
  </si>
  <si>
    <t xml:space="preserve">Validation — reproduce NVIDIA DGX TCO tool Test 1 from this rate card</t>
  </si>
  <si>
    <t xml:space="preserve">Scenario: 1x DGX B200 vs AWS B200-class, all perf factors 1.00, 100% utilization, 100% 1-yr reserved, 0.25 PB fast + 0.75 PB bulk, self-hosted. Expected values from NVIDIA tool screenshots (Aug 2026). Tolerance MAX($1, 0.01%) — tightened in v2.3 to match the live regression standard.</t>
  </si>
  <si>
    <t xml:space="preserve">Check</t>
  </si>
  <si>
    <t xml:space="preserve">This workbook</t>
  </si>
  <si>
    <t xml:space="preserve">NVIDIA tool</t>
  </si>
  <si>
    <t xml:space="preserve">Status</t>
  </si>
  <si>
    <t xml:space="preserve">Monthly GPU-hours per DGX (100% util)</t>
  </si>
  <si>
    <t xml:space="preserve">Cloud compute ($/mo)</t>
  </si>
  <si>
    <t xml:space="preserve">Cloud storage + egress ($/mo)</t>
  </si>
  <si>
    <t xml:space="preserve">Cloud admin ($/mo)</t>
  </si>
  <si>
    <t xml:space="preserve">Cloud total ($/mo)</t>
  </si>
  <si>
    <t xml:space="preserve">On-prem compute+network capex ($)</t>
  </si>
  <si>
    <t xml:space="preserve">On-prem storage capex ($)</t>
  </si>
  <si>
    <t xml:space="preserve">Storage support ($/mo)</t>
  </si>
  <si>
    <t xml:space="preserve">Ops: power ($/mo)</t>
  </si>
  <si>
    <t xml:space="preserve">Ops: other facility ($/mo)</t>
  </si>
  <si>
    <t xml:space="preserve">Ops: admin ($/mo)</t>
  </si>
  <si>
    <t xml:space="preserve">Ops total ($/mo)</t>
  </si>
  <si>
    <t xml:space="preserve">Equinix ops total ($/mo)</t>
  </si>
  <si>
    <t xml:space="preserve">Lease check: compute ($/mo @ 0.0281)</t>
  </si>
  <si>
    <t xml:space="preserve">Lease check: storage ($/mo @ 0.0281)</t>
  </si>
  <si>
    <t xml:space="preserve">On-prem monthly total, leased ($/mo)</t>
  </si>
  <si>
    <t xml:space="preserve">v2.3: tolerance tightened to MAX($1, 0.01%) matching the live regression standard (was 1%).</t>
  </si>
  <si>
    <t xml:space="preserve">All rows must read PASS before customer use. If a rate card value changes, expected values here describe the NVIDIA tool snapshot, not your new reality — they exist to prove the formula logic, not to freeze prices.</t>
  </si>
  <si>
    <t xml:space="preserve">Engine Regression — NVIDIA Test 1 fixture (audit P0-3 response)</t>
  </si>
  <si>
    <t xml:space="preserve">Set the Inputs tab to the fixture below, then every check compares the LIVE Engine/Results cells (not shadow formulas) to expected values under the engine's documented conventions. Tolerance: MAX($1, 0.01%). Note: 'Other facility' expected is $3,111 (engine counts 1.0 storage rack for 1.0 PB) vs NVIDIA's $3,097 (0.75 racks) — a documented convention difference of $14/mo.</t>
  </si>
  <si>
    <t xml:space="preserve">FIXTURE (set these on Inputs):</t>
  </si>
  <si>
    <t xml:space="preserve">Inputs!B4 Monthly spend</t>
  </si>
  <si>
    <t xml:space="preserve">Inputs!B13 Compute share</t>
  </si>
  <si>
    <t xml:space="preserve">Inputs!B8 GPU class</t>
  </si>
  <si>
    <t xml:space="preserve">Inputs!B9 Training share</t>
  </si>
  <si>
    <t xml:space="preserve">Inputs!B10 OD share</t>
  </si>
  <si>
    <t xml:space="preserve">Inputs!B11 Storage PB</t>
  </si>
  <si>
    <t xml:space="preserve">Inputs!B12 Fast share</t>
  </si>
  <si>
    <t xml:space="preserve">Inputs!B14 Growth</t>
  </si>
  <si>
    <t xml:space="preserve">Inputs!B15 Facility</t>
  </si>
  <si>
    <t xml:space="preserve">Inputs!B16 Power</t>
  </si>
  <si>
    <t xml:space="preserve">Inputs!B17 Utilization</t>
  </si>
  <si>
    <t xml:space="preserve">Inputs!B18 System</t>
  </si>
  <si>
    <t xml:space="preserve">Inputs!B21 Tier3 hrs</t>
  </si>
  <si>
    <t xml:space="preserve">Inputs!B24-26 Factors</t>
  </si>
  <si>
    <t xml:space="preserve">1.0 / 1.0 / 1.0</t>
  </si>
  <si>
    <t xml:space="preserve">Inputs!B33-B37 Retrofit/Migr/Dual/N+1/Resid</t>
  </si>
  <si>
    <t xml:space="preserve">0 / 0 / 0 / 0 / 0%</t>
  </si>
  <si>
    <t xml:space="preserve">Inputs!B38 Storage mode</t>
  </si>
  <si>
    <t xml:space="preserve">Known</t>
  </si>
  <si>
    <t xml:space="preserve">Fixture loaded?</t>
  </si>
  <si>
    <t xml:space="preserve">Check (live Engine/Results cell)</t>
  </si>
  <si>
    <t xml:space="preserve">Engine value</t>
  </si>
  <si>
    <t xml:space="preserve">Expected</t>
  </si>
  <si>
    <t xml:space="preserve">Cloud GPU-hours/mo (Engine!B7)</t>
  </si>
  <si>
    <t xml:space="preserve">Blended rate $/instance-hr (Engine!B4)</t>
  </si>
  <si>
    <t xml:space="preserve">Net Performance Factor (Engine!B11)</t>
  </si>
  <si>
    <t xml:space="preserve">Systems required, adjusted (Engine!B18)</t>
  </si>
  <si>
    <t xml:space="preserve">Systems required, floor (Engine!B19)</t>
  </si>
  <si>
    <t xml:space="preserve">Capex compute+network (Engine!B31)</t>
  </si>
  <si>
    <t xml:space="preserve">Capex storage (Engine!B32)</t>
  </si>
  <si>
    <t xml:space="preserve">Storage support $/mo (Engine!B39)</t>
  </si>
  <si>
    <t xml:space="preserve">Power $/mo (Engine!B35)</t>
  </si>
  <si>
    <t xml:space="preserve">Other facility $/mo (Engine!B37)</t>
  </si>
  <si>
    <t xml:space="preserve">Admin $/mo (Engine!B38)</t>
  </si>
  <si>
    <t xml:space="preserve">Selected opex $/mo (Engine!B42)</t>
  </si>
  <si>
    <t xml:space="preserve">One-time costs (Engine!B54)</t>
  </si>
  <si>
    <t xml:space="preserve">Residual credit (Engine!B55)</t>
  </si>
  <si>
    <t xml:space="preserve">Cloud storage + egress $/mo (Engine!B25)</t>
  </si>
  <si>
    <t xml:space="preserve">Cloud admin $/mo (Engine!B26)</t>
  </si>
  <si>
    <t xml:space="preserve">Cloud monthly total (compute+storage+admin)</t>
  </si>
  <si>
    <t xml:space="preserve">Equinix opex option $/mo (Engine!B41)</t>
  </si>
  <si>
    <t xml:space="preserve">Lease view (blank factor → text) (Engine!B51)</t>
  </si>
  <si>
    <t xml:space="preserve">not entered</t>
  </si>
  <si>
    <t xml:space="preserve">Crossover month under fixture (Results!B26)</t>
  </si>
  <si>
    <t xml:space="preserve">Month 24</t>
  </si>
  <si>
    <t xml:space="preserve">v2.1: coverage extended to cloud storage/admin/total, Equinix option and lease text; fixture check now verifies GPU class, facility, system and provider.</t>
  </si>
  <si>
    <t xml:space="preserve">SCENARIO CHECKLIST (manual, one at a time — v2.3):</t>
  </si>
  <si>
    <t xml:space="preserve">S1 No-crossover text: bill $10,000, Storage mode Auto, other defaults → Results!B26 shows the no-crossover text, not a month.</t>
  </si>
  <si>
    <t xml:space="preserve">S2 Ops-growth sensitivity (cell-based): note Crossover!B61 and C61 (month-60 cumulative cloud and on-prem), change RateCard!B37 from 0.04 to 0.08, confirm BOTH cells increase, then restore 0.04. Do not use the rounded crossover month as the signal — at default spend it stays Month 25 for both rates (rounding), which is exactly why a cell-level check is required (audit round 6).</t>
  </si>
  <si>
    <t xml:space="preserve">S3 N+1 invariance: toggle Inputs!B36 from 0 to 1 → Results!B23 headroom values UNCHANGED (spare is not growth capacity).</t>
  </si>
  <si>
    <t xml:space="preserve">S4 Capacity suppression: high bill (e.g. $2M) with growth 25% → if crossover month exceeds adjusted exhaustion, Results!B26 shows the cannot-be-determined text.</t>
  </si>
  <si>
    <t xml:space="preserve">S5 Class routing: switch Inputs!B8 H100 ↔ B200 → Engine!B4 blended rate changes per CloudRates (H100 ≈ $35.90 vs B200 ≈ $71.24 at 100% reserved).</t>
  </si>
  <si>
    <t xml:space="preserve">Month</t>
  </si>
  <si>
    <t xml:space="preserve">Cloud cum ($)</t>
  </si>
  <si>
    <t xml:space="preserve">On-prem cum ($)</t>
  </si>
  <si>
    <t xml:space="preserve">Crossed</t>
  </si>
  <si>
    <t xml:space="preserve">v2.3: cumulative monthly cash flows from the STATED bill (single source of truth with Results): compute portion grows at demand rate, non-compute at RateCard ops growth; reconstructed components validate the bill (reconciliation) but do not replace it. On-prem = capex + one-time at month 1 + opex growing at RateCard ops growth. Residual excluded until exit.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</si>
</sst>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%"/>
    <numFmt numFmtId="167" formatCode="\$#,##0"/>
    <numFmt numFmtId="168" formatCode="0.00"/>
    <numFmt numFmtId="169" formatCode="#,##0"/>
    <numFmt numFmtId="170" formatCode="#,##0.0"/>
    <numFmt numFmtId="171" formatCode="0.00\x"/>
    <numFmt numFmtId="172" formatCode="0.0000"/>
    <numFmt numFmtId="173" formatCode="0.000&quot; PB&quot;"/>
    <numFmt numFmtId="17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32" customFormat="false" ht="15" hidden="false" customHeight="true" outlineLevel="0" collapsed="false">
      <c r="A32" s="1" t="s">
        <v>19</v>
      </c>
    </row>
    <row r="33" customFormat="false" ht="15" hidden="false" customHeight="true" outlineLevel="0" collapsed="false">
      <c r="A33" s="1" t="s">
        <v>20</v>
      </c>
    </row>
    <row r="34" customFormat="false" ht="15" hidden="false" customHeight="true" outlineLevel="0" collapsed="false">
      <c r="A34" s="1" t="s">
        <v>21</v>
      </c>
    </row>
    <row r="35" customFormat="false" ht="15" hidden="false" customHeight="true" outlineLevel="0" collapsed="false">
      <c r="A35" s="1" t="s">
        <v>22</v>
      </c>
    </row>
    <row r="36" customFormat="false" ht="15" hidden="false" customHeight="true" outlineLevel="0" collapsed="false">
      <c r="A36" s="1" t="s">
        <v>23</v>
      </c>
    </row>
    <row r="37" customFormat="false" ht="15" hidden="false" customHeight="true" outlineLevel="0" collapsed="false">
      <c r="A37" s="1" t="s">
        <v>24</v>
      </c>
    </row>
    <row r="38" customFormat="false" ht="15" hidden="false" customHeight="true" outlineLevel="0" collapsed="false">
      <c r="A38" s="1" t="s">
        <v>25</v>
      </c>
    </row>
    <row r="39" customFormat="false" ht="15" hidden="false" customHeight="true" outlineLevel="0" collapsed="false">
      <c r="A39" s="1" t="s">
        <v>26</v>
      </c>
    </row>
    <row r="40" customFormat="false" ht="15" hidden="false" customHeight="true" outlineLevel="0" collapsed="false">
      <c r="A40" s="1" t="s">
        <v>27</v>
      </c>
    </row>
    <row r="41" customFormat="false" ht="15" hidden="false" customHeight="true" outlineLevel="0" collapsed="false">
      <c r="A41" s="1" t="s">
        <v>28</v>
      </c>
    </row>
    <row r="42" customFormat="false" ht="15" hidden="false" customHeight="true" outlineLevel="0" collapsed="false">
      <c r="A42" s="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4"/>
    <col collapsed="false" customWidth="true" hidden="false" outlineLevel="0" max="3" min="3" style="1" width="58"/>
  </cols>
  <sheetData>
    <row r="1" customFormat="false" ht="15" hidden="false" customHeight="true" outlineLevel="0" collapsed="false">
      <c r="A1" s="5" t="s">
        <v>30</v>
      </c>
      <c r="B1" s="5" t="s">
        <v>31</v>
      </c>
      <c r="C1" s="5" t="s">
        <v>32</v>
      </c>
    </row>
    <row r="3" customFormat="false" ht="15" hidden="false" customHeight="true" outlineLevel="0" collapsed="false">
      <c r="A3" s="6" t="s">
        <v>33</v>
      </c>
    </row>
    <row r="4" customFormat="false" ht="15" hidden="false" customHeight="true" outlineLevel="0" collapsed="false">
      <c r="A4" s="3" t="s">
        <v>34</v>
      </c>
      <c r="B4" s="7" t="n">
        <v>113.93</v>
      </c>
      <c r="C4" s="3" t="s">
        <v>35</v>
      </c>
    </row>
    <row r="5" customFormat="false" ht="15" hidden="false" customHeight="true" outlineLevel="0" collapsed="false">
      <c r="A5" s="3" t="s">
        <v>36</v>
      </c>
      <c r="B5" s="7" t="n">
        <v>68.36</v>
      </c>
      <c r="C5" s="3" t="s">
        <v>37</v>
      </c>
    </row>
    <row r="6" customFormat="false" ht="15" hidden="false" customHeight="true" outlineLevel="0" collapsed="false">
      <c r="A6" s="3" t="s">
        <v>38</v>
      </c>
      <c r="B6" s="7" t="n">
        <v>8</v>
      </c>
      <c r="C6" s="3" t="s">
        <v>37</v>
      </c>
    </row>
    <row r="7" customFormat="false" ht="15" hidden="false" customHeight="true" outlineLevel="0" collapsed="false">
      <c r="A7" s="3" t="s">
        <v>39</v>
      </c>
      <c r="B7" s="7" t="n">
        <v>2.88</v>
      </c>
      <c r="C7" s="3" t="s">
        <v>37</v>
      </c>
    </row>
    <row r="8" customFormat="false" ht="15" hidden="false" customHeight="true" outlineLevel="0" collapsed="false">
      <c r="A8" s="3" t="s">
        <v>40</v>
      </c>
      <c r="B8" s="7" t="n">
        <v>0.14</v>
      </c>
      <c r="C8" s="3" t="s">
        <v>41</v>
      </c>
    </row>
    <row r="9" customFormat="false" ht="15" hidden="false" customHeight="true" outlineLevel="0" collapsed="false">
      <c r="A9" s="3" t="s">
        <v>42</v>
      </c>
      <c r="B9" s="7" t="n">
        <v>0.02</v>
      </c>
      <c r="C9" s="3" t="s">
        <v>43</v>
      </c>
    </row>
    <row r="10" customFormat="false" ht="15" hidden="false" customHeight="true" outlineLevel="0" collapsed="false">
      <c r="A10" s="3" t="s">
        <v>44</v>
      </c>
      <c r="B10" s="7" t="n">
        <v>0.05</v>
      </c>
      <c r="C10" s="3"/>
    </row>
    <row r="11" customFormat="false" ht="15" hidden="false" customHeight="true" outlineLevel="0" collapsed="false">
      <c r="A11" s="3" t="s">
        <v>45</v>
      </c>
      <c r="B11" s="8" t="n">
        <v>0.05</v>
      </c>
      <c r="C11" s="3" t="s">
        <v>46</v>
      </c>
    </row>
    <row r="12" customFormat="false" ht="15" hidden="false" customHeight="true" outlineLevel="0" collapsed="false">
      <c r="A12" s="3" t="s">
        <v>47</v>
      </c>
      <c r="B12" s="9" t="n">
        <v>189000</v>
      </c>
      <c r="C12" s="3"/>
    </row>
    <row r="13" customFormat="false" ht="15" hidden="false" customHeight="true" outlineLevel="0" collapsed="false">
      <c r="A13" s="3" t="s">
        <v>48</v>
      </c>
      <c r="B13" s="9" t="n">
        <v>5000</v>
      </c>
      <c r="C13" s="3"/>
    </row>
    <row r="14" customFormat="false" ht="15" hidden="false" customHeight="true" outlineLevel="0" collapsed="false">
      <c r="A14" s="3" t="s">
        <v>49</v>
      </c>
      <c r="B14" s="10" t="n">
        <v>0.01</v>
      </c>
      <c r="C14" s="3" t="s">
        <v>50</v>
      </c>
    </row>
    <row r="15" customFormat="false" ht="15" hidden="false" customHeight="true" outlineLevel="0" collapsed="false">
      <c r="A15" s="3" t="s">
        <v>51</v>
      </c>
      <c r="B15" s="8" t="n">
        <v>0</v>
      </c>
      <c r="C15" s="3" t="s">
        <v>52</v>
      </c>
    </row>
    <row r="16" customFormat="false" ht="15" hidden="false" customHeight="true" outlineLevel="0" collapsed="false">
      <c r="A16" s="3" t="s">
        <v>53</v>
      </c>
      <c r="B16" s="11" t="n">
        <v>8</v>
      </c>
      <c r="C16" s="3"/>
    </row>
    <row r="18" customFormat="false" ht="15" hidden="false" customHeight="true" outlineLevel="0" collapsed="false">
      <c r="A18" s="6" t="s">
        <v>54</v>
      </c>
    </row>
    <row r="19" customFormat="false" ht="15" hidden="false" customHeight="true" outlineLevel="0" collapsed="false">
      <c r="A19" s="3" t="s">
        <v>55</v>
      </c>
      <c r="B19" s="9" t="n">
        <v>600000</v>
      </c>
      <c r="C19" s="3" t="s">
        <v>56</v>
      </c>
    </row>
    <row r="20" customFormat="false" ht="15" hidden="false" customHeight="true" outlineLevel="0" collapsed="false">
      <c r="A20" s="3" t="s">
        <v>57</v>
      </c>
      <c r="B20" s="9" t="n">
        <v>25000</v>
      </c>
      <c r="C20" s="3"/>
    </row>
    <row r="21" customFormat="false" ht="15" hidden="false" customHeight="true" outlineLevel="0" collapsed="false">
      <c r="A21" s="3" t="s">
        <v>58</v>
      </c>
      <c r="B21" s="9" t="n">
        <v>15000</v>
      </c>
      <c r="C21" s="3" t="s">
        <v>59</v>
      </c>
    </row>
    <row r="22" customFormat="false" ht="15" hidden="false" customHeight="true" outlineLevel="0" collapsed="false">
      <c r="A22" s="3" t="s">
        <v>60</v>
      </c>
      <c r="B22" s="9" t="n">
        <v>1200000</v>
      </c>
      <c r="C22" s="3" t="s">
        <v>61</v>
      </c>
    </row>
    <row r="23" customFormat="false" ht="15" hidden="false" customHeight="true" outlineLevel="0" collapsed="false">
      <c r="A23" s="3" t="s">
        <v>62</v>
      </c>
      <c r="B23" s="9" t="n">
        <v>100000</v>
      </c>
      <c r="C23" s="3"/>
    </row>
    <row r="24" customFormat="false" ht="15" hidden="false" customHeight="true" outlineLevel="0" collapsed="false">
      <c r="A24" s="3" t="s">
        <v>63</v>
      </c>
      <c r="B24" s="9" t="n">
        <v>500000</v>
      </c>
      <c r="C24" s="3" t="s">
        <v>61</v>
      </c>
    </row>
    <row r="25" customFormat="false" ht="15" hidden="false" customHeight="true" outlineLevel="0" collapsed="false">
      <c r="A25" s="3" t="s">
        <v>64</v>
      </c>
      <c r="B25" s="9" t="n">
        <v>33333</v>
      </c>
      <c r="C25" s="3"/>
    </row>
    <row r="26" customFormat="false" ht="15" hidden="false" customHeight="true" outlineLevel="0" collapsed="false">
      <c r="A26" s="3" t="s">
        <v>65</v>
      </c>
      <c r="B26" s="12" t="n">
        <v>10</v>
      </c>
      <c r="C26" s="3"/>
    </row>
    <row r="27" customFormat="false" ht="15" hidden="false" customHeight="true" outlineLevel="0" collapsed="false">
      <c r="A27" s="3" t="s">
        <v>66</v>
      </c>
      <c r="B27" s="12" t="n">
        <v>1</v>
      </c>
      <c r="C27" s="3" t="s">
        <v>67</v>
      </c>
    </row>
    <row r="28" customFormat="false" ht="15" hidden="false" customHeight="true" outlineLevel="0" collapsed="false">
      <c r="A28" s="3" t="s">
        <v>68</v>
      </c>
      <c r="B28" s="9" t="n">
        <v>300</v>
      </c>
      <c r="C28" s="3" t="s">
        <v>69</v>
      </c>
    </row>
    <row r="29" customFormat="false" ht="15" hidden="false" customHeight="true" outlineLevel="0" collapsed="false">
      <c r="A29" s="3" t="s">
        <v>70</v>
      </c>
      <c r="B29" s="9" t="n">
        <v>3000</v>
      </c>
      <c r="C29" s="3"/>
    </row>
    <row r="30" customFormat="false" ht="15" hidden="false" customHeight="true" outlineLevel="0" collapsed="false">
      <c r="A30" s="3" t="s">
        <v>71</v>
      </c>
      <c r="B30" s="9" t="n">
        <v>2000</v>
      </c>
      <c r="C30" s="3"/>
    </row>
    <row r="31" customFormat="false" ht="15" hidden="false" customHeight="true" outlineLevel="0" collapsed="false">
      <c r="A31" s="3" t="s">
        <v>72</v>
      </c>
      <c r="B31" s="11" t="n">
        <v>10</v>
      </c>
      <c r="C31" s="3"/>
    </row>
    <row r="32" customFormat="false" ht="15" hidden="false" customHeight="true" outlineLevel="0" collapsed="false">
      <c r="A32" s="3" t="s">
        <v>73</v>
      </c>
      <c r="B32" s="9" t="n">
        <v>189000</v>
      </c>
      <c r="C32" s="3"/>
    </row>
    <row r="33" customFormat="false" ht="15" hidden="false" customHeight="true" outlineLevel="0" collapsed="false">
      <c r="A33" s="3" t="s">
        <v>74</v>
      </c>
      <c r="B33" s="9" t="n">
        <v>11387</v>
      </c>
      <c r="C33" s="3" t="s">
        <v>75</v>
      </c>
    </row>
    <row r="35" customFormat="false" ht="15" hidden="false" customHeight="true" outlineLevel="0" collapsed="false">
      <c r="A35" s="6" t="s">
        <v>76</v>
      </c>
    </row>
    <row r="36" customFormat="false" ht="15" hidden="false" customHeight="true" outlineLevel="0" collapsed="false">
      <c r="A36" s="3" t="s">
        <v>77</v>
      </c>
      <c r="B36" s="11" t="n">
        <v>730</v>
      </c>
      <c r="C36" s="3" t="s">
        <v>78</v>
      </c>
    </row>
    <row r="37" customFormat="false" ht="15" hidden="false" customHeight="true" outlineLevel="0" collapsed="false">
      <c r="A37" s="3" t="s">
        <v>79</v>
      </c>
      <c r="B37" s="8" t="n">
        <v>0.04</v>
      </c>
      <c r="C37" s="3" t="s">
        <v>80</v>
      </c>
    </row>
    <row r="38" customFormat="false" ht="15" hidden="false" customHeight="true" outlineLevel="0" collapsed="false">
      <c r="A38" s="1" t="s">
        <v>81</v>
      </c>
      <c r="B38" s="13" t="n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4" min="3" style="1" width="14"/>
    <col collapsed="false" customWidth="true" hidden="false" outlineLevel="0" max="5" min="5" style="1" width="7"/>
    <col collapsed="false" customWidth="true" hidden="false" outlineLevel="0" max="6" min="6" style="1" width="26"/>
    <col collapsed="false" customWidth="true" hidden="false" outlineLevel="0" max="7" min="7" style="1" width="14"/>
  </cols>
  <sheetData>
    <row r="1" customFormat="false" ht="15" hidden="false" customHeight="true" outlineLevel="0" collapsed="false">
      <c r="A1" s="4" t="s">
        <v>82</v>
      </c>
    </row>
    <row r="2" customFormat="false" ht="15" hidden="false" customHeight="true" outlineLevel="0" collapsed="false">
      <c r="A2" s="5" t="s">
        <v>83</v>
      </c>
      <c r="B2" s="5" t="s">
        <v>84</v>
      </c>
      <c r="C2" s="5" t="s">
        <v>85</v>
      </c>
      <c r="D2" s="5" t="s">
        <v>86</v>
      </c>
      <c r="E2" s="5" t="s">
        <v>87</v>
      </c>
      <c r="F2" s="5" t="s">
        <v>88</v>
      </c>
      <c r="G2" s="5" t="s">
        <v>89</v>
      </c>
      <c r="H2" s="5" t="s">
        <v>90</v>
      </c>
    </row>
    <row r="3" customFormat="false" ht="15" hidden="false" customHeight="true" outlineLevel="0" collapsed="false">
      <c r="A3" s="1" t="s">
        <v>91</v>
      </c>
      <c r="B3" s="1" t="s">
        <v>92</v>
      </c>
      <c r="C3" s="7" t="n">
        <v>32.8</v>
      </c>
      <c r="D3" s="7" t="n">
        <v>19.68</v>
      </c>
      <c r="E3" s="1" t="n">
        <v>8</v>
      </c>
      <c r="F3" s="1" t="s">
        <v>93</v>
      </c>
      <c r="G3" s="1" t="s">
        <v>94</v>
      </c>
      <c r="H3" s="1" t="s">
        <v>95</v>
      </c>
    </row>
    <row r="4" customFormat="false" ht="15" hidden="false" customHeight="true" outlineLevel="0" collapsed="false">
      <c r="A4" s="1" t="s">
        <v>96</v>
      </c>
      <c r="B4" s="1" t="s">
        <v>97</v>
      </c>
      <c r="C4" s="7" t="n">
        <v>55.04</v>
      </c>
      <c r="D4" s="7" t="n">
        <v>33.02</v>
      </c>
      <c r="E4" s="1" t="n">
        <v>8</v>
      </c>
      <c r="F4" s="1" t="s">
        <v>93</v>
      </c>
      <c r="G4" s="1" t="s">
        <v>94</v>
      </c>
      <c r="H4" s="1" t="s">
        <v>95</v>
      </c>
    </row>
    <row r="5" customFormat="false" ht="15" hidden="false" customHeight="true" outlineLevel="0" collapsed="false">
      <c r="A5" s="1" t="s">
        <v>98</v>
      </c>
      <c r="B5" s="1" t="s">
        <v>99</v>
      </c>
      <c r="C5" s="7" t="n">
        <v>80</v>
      </c>
      <c r="D5" s="7" t="n">
        <v>48</v>
      </c>
      <c r="E5" s="1" t="n">
        <v>8</v>
      </c>
      <c r="F5" s="1" t="s">
        <v>93</v>
      </c>
      <c r="G5" s="1" t="s">
        <v>94</v>
      </c>
      <c r="H5" s="1" t="s">
        <v>95</v>
      </c>
    </row>
    <row r="6" customFormat="false" ht="15" hidden="false" customHeight="true" outlineLevel="0" collapsed="false">
      <c r="A6" s="1" t="s">
        <v>100</v>
      </c>
      <c r="B6" s="1" t="s">
        <v>101</v>
      </c>
      <c r="C6" s="7" t="n">
        <v>113.93</v>
      </c>
      <c r="D6" s="7" t="n">
        <v>68.36</v>
      </c>
      <c r="E6" s="1" t="n">
        <v>8</v>
      </c>
      <c r="F6" s="1" t="s">
        <v>102</v>
      </c>
      <c r="G6" s="1" t="s">
        <v>102</v>
      </c>
      <c r="H6" s="1" t="s">
        <v>103</v>
      </c>
    </row>
    <row r="8" customFormat="false" ht="15" hidden="false" customHeight="true" outlineLevel="0" collapsed="false">
      <c r="A8" s="1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7" min="3" style="1" width="14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1" min="11" style="1" width="44"/>
  </cols>
  <sheetData>
    <row r="1" customFormat="false" ht="15" hidden="false" customHeight="true" outlineLevel="0" collapsed="false">
      <c r="A1" s="5" t="s">
        <v>105</v>
      </c>
    </row>
    <row r="2" customFormat="false" ht="15" hidden="false" customHeight="true" outlineLevel="0" collapsed="false">
      <c r="A2" s="5" t="s">
        <v>106</v>
      </c>
      <c r="B2" s="5" t="s">
        <v>87</v>
      </c>
      <c r="C2" s="5" t="s">
        <v>107</v>
      </c>
      <c r="D2" s="5" t="s">
        <v>108</v>
      </c>
      <c r="E2" s="5" t="s">
        <v>109</v>
      </c>
      <c r="F2" s="5" t="s">
        <v>110</v>
      </c>
      <c r="G2" s="5" t="s">
        <v>111</v>
      </c>
      <c r="H2" s="14" t="s">
        <v>112</v>
      </c>
      <c r="I2" s="5" t="s">
        <v>113</v>
      </c>
      <c r="J2" s="5" t="s">
        <v>114</v>
      </c>
      <c r="K2" s="5" t="s">
        <v>115</v>
      </c>
    </row>
    <row r="3" customFormat="false" ht="15" hidden="false" customHeight="true" outlineLevel="0" collapsed="false">
      <c r="A3" s="13" t="s">
        <v>116</v>
      </c>
      <c r="B3" s="11" t="n">
        <v>8</v>
      </c>
      <c r="C3" s="9" t="n">
        <v>485000</v>
      </c>
      <c r="D3" s="9" t="n">
        <v>142800</v>
      </c>
      <c r="E3" s="9" t="n">
        <v>54323</v>
      </c>
      <c r="F3" s="9" t="n">
        <v>23443</v>
      </c>
      <c r="G3" s="9" t="n">
        <v>14227</v>
      </c>
      <c r="H3" s="12" t="n">
        <v>14.4</v>
      </c>
      <c r="I3" s="13" t="n">
        <v>2</v>
      </c>
      <c r="J3" s="13" t="s">
        <v>117</v>
      </c>
      <c r="K3" s="13" t="s">
        <v>118</v>
      </c>
    </row>
    <row r="4" customFormat="false" ht="15" hidden="false" customHeight="true" outlineLevel="0" collapsed="false">
      <c r="A4" s="13" t="s">
        <v>119</v>
      </c>
      <c r="B4" s="11" t="n">
        <v>8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12" t="n">
        <v>14.4</v>
      </c>
      <c r="I4" s="13" t="n">
        <v>2</v>
      </c>
      <c r="J4" s="13" t="s">
        <v>120</v>
      </c>
      <c r="K4" s="13" t="s">
        <v>121</v>
      </c>
    </row>
    <row r="5" customFormat="false" ht="15" hidden="false" customHeight="true" outlineLevel="0" collapsed="false">
      <c r="A5" s="13" t="s">
        <v>122</v>
      </c>
      <c r="B5" s="11" t="n">
        <v>8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12" t="n">
        <v>10.2</v>
      </c>
      <c r="I5" s="13" t="n">
        <v>2</v>
      </c>
      <c r="J5" s="13" t="s">
        <v>120</v>
      </c>
      <c r="K5" s="13" t="s">
        <v>121</v>
      </c>
    </row>
    <row r="6" customFormat="false" ht="15" hidden="false" customHeight="true" outlineLevel="0" collapsed="false">
      <c r="A6" s="13" t="s">
        <v>123</v>
      </c>
      <c r="B6" s="11" t="n">
        <v>72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12" t="n">
        <v>120</v>
      </c>
      <c r="I6" s="13" t="n">
        <v>1</v>
      </c>
      <c r="J6" s="13" t="s">
        <v>120</v>
      </c>
      <c r="K6" s="13" t="s">
        <v>121</v>
      </c>
    </row>
    <row r="8" customFormat="false" ht="15" hidden="false" customHeight="true" outlineLevel="0" collapsed="false">
      <c r="A8" s="4" t="s">
        <v>124</v>
      </c>
    </row>
    <row r="9" customFormat="false" ht="15" hidden="false" customHeight="true" outlineLevel="0" collapsed="false">
      <c r="A9" s="13" t="s">
        <v>91</v>
      </c>
    </row>
    <row r="10" customFormat="false" ht="15" hidden="false" customHeight="true" outlineLevel="0" collapsed="false">
      <c r="A10" s="13" t="s">
        <v>96</v>
      </c>
    </row>
    <row r="11" customFormat="false" ht="15" hidden="false" customHeight="true" outlineLevel="0" collapsed="false">
      <c r="A11" s="13" t="s">
        <v>98</v>
      </c>
    </row>
    <row r="12" customFormat="false" ht="15" hidden="false" customHeight="true" outlineLevel="0" collapsed="false">
      <c r="A12" s="1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3"/>
    <col collapsed="false" customWidth="true" hidden="false" outlineLevel="0" max="6" min="6" style="1" width="70"/>
  </cols>
  <sheetData>
    <row r="1" customFormat="false" ht="15" hidden="false" customHeight="true" outlineLevel="0" collapsed="false">
      <c r="A1" s="5" t="s">
        <v>125</v>
      </c>
    </row>
    <row r="2" customFormat="false" ht="15" hidden="false" customHeight="true" outlineLevel="0" collapsed="false">
      <c r="A2" s="5" t="s">
        <v>126</v>
      </c>
      <c r="B2" s="5" t="s">
        <v>127</v>
      </c>
      <c r="C2" s="5" t="s">
        <v>128</v>
      </c>
      <c r="D2" s="5" t="s">
        <v>129</v>
      </c>
      <c r="E2" s="5" t="s">
        <v>130</v>
      </c>
      <c r="F2" s="5" t="s">
        <v>32</v>
      </c>
    </row>
    <row r="3" customFormat="false" ht="15" hidden="false" customHeight="true" outlineLevel="0" collapsed="false">
      <c r="A3" s="13" t="s">
        <v>91</v>
      </c>
      <c r="B3" s="15" t="n">
        <v>4.4</v>
      </c>
      <c r="C3" s="15" t="n">
        <v>8</v>
      </c>
      <c r="D3" s="15" t="n">
        <v>12</v>
      </c>
      <c r="E3" s="15" t="n">
        <v>18</v>
      </c>
      <c r="F3" s="3" t="s">
        <v>131</v>
      </c>
    </row>
    <row r="4" customFormat="false" ht="15" hidden="false" customHeight="true" outlineLevel="0" collapsed="false">
      <c r="A4" s="13" t="s">
        <v>96</v>
      </c>
      <c r="B4" s="15" t="n">
        <v>2.2</v>
      </c>
      <c r="C4" s="15" t="n">
        <v>3</v>
      </c>
      <c r="D4" s="15" t="n">
        <v>4</v>
      </c>
      <c r="E4" s="15" t="n">
        <v>15</v>
      </c>
      <c r="F4" s="3" t="s">
        <v>132</v>
      </c>
    </row>
    <row r="5" customFormat="false" ht="15" hidden="false" customHeight="true" outlineLevel="0" collapsed="false">
      <c r="A5" s="13" t="s">
        <v>98</v>
      </c>
      <c r="B5" s="15" t="n">
        <v>1.5</v>
      </c>
      <c r="C5" s="15" t="n">
        <v>2</v>
      </c>
      <c r="D5" s="15" t="n">
        <v>2.9</v>
      </c>
      <c r="E5" s="15" t="n">
        <v>10</v>
      </c>
      <c r="F5" s="3" t="s">
        <v>133</v>
      </c>
    </row>
    <row r="6" customFormat="false" ht="15" hidden="false" customHeight="true" outlineLevel="0" collapsed="false">
      <c r="A6" s="13" t="s">
        <v>100</v>
      </c>
      <c r="B6" s="15" t="n">
        <v>1</v>
      </c>
      <c r="C6" s="15" t="n">
        <v>1</v>
      </c>
      <c r="D6" s="15" t="n">
        <v>1</v>
      </c>
      <c r="E6" s="15" t="n">
        <v>1</v>
      </c>
      <c r="F6" s="3" t="s">
        <v>134</v>
      </c>
    </row>
    <row r="8" customFormat="false" ht="15" hidden="false" customHeight="true" outlineLevel="0" collapsed="false">
      <c r="A8" s="4" t="s">
        <v>135</v>
      </c>
    </row>
    <row r="9" customFormat="false" ht="15" hidden="false" customHeight="true" outlineLevel="0" collapsed="false">
      <c r="A9" s="3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6"/>
    <col collapsed="false" customWidth="true" hidden="false" outlineLevel="0" max="3" min="3" style="1" width="66"/>
  </cols>
  <sheetData>
    <row r="1" customFormat="false" ht="15" hidden="false" customHeight="true" outlineLevel="0" collapsed="false">
      <c r="A1" s="5" t="s">
        <v>137</v>
      </c>
      <c r="B1" s="5" t="s">
        <v>31</v>
      </c>
      <c r="C1" s="5" t="s">
        <v>138</v>
      </c>
    </row>
    <row r="3" customFormat="false" ht="15" hidden="false" customHeight="true" outlineLevel="0" collapsed="false">
      <c r="A3" s="6" t="s">
        <v>139</v>
      </c>
    </row>
    <row r="4" customFormat="false" ht="15" hidden="false" customHeight="true" outlineLevel="0" collapsed="false">
      <c r="A4" s="3" t="s">
        <v>140</v>
      </c>
      <c r="B4" s="16" t="n">
        <v>105079</v>
      </c>
      <c r="C4" s="3" t="s">
        <v>141</v>
      </c>
    </row>
    <row r="5" customFormat="false" ht="15" hidden="false" customHeight="true" outlineLevel="0" collapsed="false">
      <c r="A5" s="3" t="s">
        <v>142</v>
      </c>
      <c r="B5" s="17" t="s">
        <v>143</v>
      </c>
      <c r="C5" s="3" t="s">
        <v>144</v>
      </c>
    </row>
    <row r="7" customFormat="false" ht="15" hidden="false" customHeight="true" outlineLevel="0" collapsed="false">
      <c r="A7" s="6" t="s">
        <v>145</v>
      </c>
    </row>
    <row r="8" customFormat="false" ht="15" hidden="false" customHeight="true" outlineLevel="0" collapsed="false">
      <c r="A8" s="3" t="s">
        <v>146</v>
      </c>
      <c r="B8" s="17" t="s">
        <v>96</v>
      </c>
      <c r="C8" s="3" t="s">
        <v>147</v>
      </c>
    </row>
    <row r="9" customFormat="false" ht="15" hidden="false" customHeight="true" outlineLevel="0" collapsed="false">
      <c r="A9" s="3" t="s">
        <v>148</v>
      </c>
      <c r="B9" s="18" t="n">
        <v>0.5</v>
      </c>
      <c r="C9" s="3" t="s">
        <v>149</v>
      </c>
    </row>
    <row r="10" customFormat="false" ht="15" hidden="false" customHeight="true" outlineLevel="0" collapsed="false">
      <c r="A10" s="3" t="s">
        <v>150</v>
      </c>
      <c r="B10" s="18" t="n">
        <v>0</v>
      </c>
      <c r="C10" s="3" t="s">
        <v>151</v>
      </c>
    </row>
    <row r="11" customFormat="false" ht="15" hidden="false" customHeight="true" outlineLevel="0" collapsed="false">
      <c r="A11" s="3" t="s">
        <v>152</v>
      </c>
      <c r="B11" s="19" t="n">
        <v>1</v>
      </c>
      <c r="C11" s="3" t="s">
        <v>153</v>
      </c>
    </row>
    <row r="12" customFormat="false" ht="15" hidden="false" customHeight="true" outlineLevel="0" collapsed="false">
      <c r="A12" s="3" t="s">
        <v>154</v>
      </c>
      <c r="B12" s="18" t="n">
        <v>0.25</v>
      </c>
      <c r="C12" s="3" t="s">
        <v>155</v>
      </c>
    </row>
    <row r="13" customFormat="false" ht="15" hidden="false" customHeight="true" outlineLevel="0" collapsed="false">
      <c r="A13" s="3" t="s">
        <v>156</v>
      </c>
      <c r="B13" s="18" t="n">
        <v>0.5</v>
      </c>
      <c r="C13" s="3" t="s">
        <v>157</v>
      </c>
    </row>
    <row r="14" customFormat="false" ht="15" hidden="false" customHeight="true" outlineLevel="0" collapsed="false">
      <c r="A14" s="3" t="s">
        <v>158</v>
      </c>
      <c r="B14" s="18" t="n">
        <v>0.25</v>
      </c>
      <c r="C14" s="3" t="s">
        <v>159</v>
      </c>
    </row>
    <row r="15" customFormat="false" ht="15" hidden="false" customHeight="true" outlineLevel="0" collapsed="false">
      <c r="A15" s="3" t="s">
        <v>160</v>
      </c>
      <c r="B15" s="17" t="s">
        <v>161</v>
      </c>
      <c r="C15" s="3" t="s">
        <v>162</v>
      </c>
    </row>
    <row r="16" customFormat="false" ht="15" hidden="false" customHeight="true" outlineLevel="0" collapsed="false">
      <c r="A16" s="3" t="s">
        <v>163</v>
      </c>
      <c r="B16" s="16" t="n">
        <v>300</v>
      </c>
      <c r="C16" s="3" t="s">
        <v>164</v>
      </c>
    </row>
    <row r="17" customFormat="false" ht="15" hidden="false" customHeight="true" outlineLevel="0" collapsed="false">
      <c r="A17" s="3" t="s">
        <v>165</v>
      </c>
      <c r="B17" s="18" t="n">
        <v>0.85</v>
      </c>
      <c r="C17" s="3" t="s">
        <v>166</v>
      </c>
    </row>
    <row r="18" customFormat="false" ht="15" hidden="false" customHeight="true" outlineLevel="0" collapsed="false">
      <c r="A18" s="3" t="s">
        <v>167</v>
      </c>
      <c r="B18" s="17" t="s">
        <v>116</v>
      </c>
      <c r="C18" s="3" t="s">
        <v>168</v>
      </c>
    </row>
    <row r="20" customFormat="false" ht="15" hidden="false" customHeight="true" outlineLevel="0" collapsed="false">
      <c r="A20" s="6" t="s">
        <v>169</v>
      </c>
    </row>
    <row r="21" customFormat="false" ht="15" hidden="false" customHeight="true" outlineLevel="0" collapsed="false">
      <c r="A21" s="3" t="s">
        <v>170</v>
      </c>
      <c r="B21" s="20" t="n">
        <v>0</v>
      </c>
      <c r="C21" s="3" t="s">
        <v>171</v>
      </c>
    </row>
    <row r="23" customFormat="false" ht="15" hidden="false" customHeight="true" outlineLevel="0" collapsed="false">
      <c r="A23" s="6" t="s">
        <v>172</v>
      </c>
    </row>
    <row r="24" customFormat="false" ht="15" hidden="false" customHeight="true" outlineLevel="0" collapsed="false">
      <c r="A24" s="3" t="s">
        <v>173</v>
      </c>
      <c r="B24" s="21" t="n">
        <v>1</v>
      </c>
      <c r="C24" s="3" t="s">
        <v>174</v>
      </c>
    </row>
    <row r="25" customFormat="false" ht="15" hidden="false" customHeight="true" outlineLevel="0" collapsed="false">
      <c r="A25" s="3" t="s">
        <v>175</v>
      </c>
      <c r="B25" s="21" t="n">
        <v>1.3</v>
      </c>
      <c r="C25" s="3" t="s">
        <v>176</v>
      </c>
    </row>
    <row r="26" customFormat="false" ht="15" hidden="false" customHeight="true" outlineLevel="0" collapsed="false">
      <c r="A26" s="3" t="s">
        <v>177</v>
      </c>
      <c r="B26" s="21" t="n">
        <v>1.3</v>
      </c>
      <c r="C26" s="3" t="s">
        <v>178</v>
      </c>
    </row>
    <row r="28" customFormat="false" ht="15" hidden="false" customHeight="true" outlineLevel="0" collapsed="false">
      <c r="A28" s="6" t="s">
        <v>179</v>
      </c>
    </row>
    <row r="29" customFormat="false" ht="15" hidden="false" customHeight="true" outlineLevel="0" collapsed="false">
      <c r="A29" s="3" t="s">
        <v>180</v>
      </c>
      <c r="B29" s="22"/>
      <c r="C29" s="3" t="s">
        <v>181</v>
      </c>
    </row>
    <row r="30" customFormat="false" ht="15" hidden="false" customHeight="true" outlineLevel="0" collapsed="false">
      <c r="A30" s="3" t="s">
        <v>182</v>
      </c>
      <c r="B30" s="20" t="n">
        <v>36</v>
      </c>
      <c r="C30" s="3" t="s">
        <v>183</v>
      </c>
    </row>
    <row r="32" customFormat="false" ht="15" hidden="false" customHeight="true" outlineLevel="0" collapsed="false">
      <c r="A32" s="6" t="s">
        <v>184</v>
      </c>
    </row>
    <row r="33" customFormat="false" ht="15" hidden="false" customHeight="true" outlineLevel="0" collapsed="false">
      <c r="A33" s="3" t="s">
        <v>185</v>
      </c>
      <c r="B33" s="16" t="n">
        <v>0</v>
      </c>
      <c r="C33" s="3" t="s">
        <v>186</v>
      </c>
    </row>
    <row r="34" customFormat="false" ht="15" hidden="false" customHeight="true" outlineLevel="0" collapsed="false">
      <c r="A34" s="3" t="s">
        <v>187</v>
      </c>
      <c r="B34" s="16" t="n">
        <v>100000</v>
      </c>
      <c r="C34" s="3" t="s">
        <v>188</v>
      </c>
    </row>
    <row r="35" customFormat="false" ht="15" hidden="false" customHeight="true" outlineLevel="0" collapsed="false">
      <c r="A35" s="3" t="s">
        <v>189</v>
      </c>
      <c r="B35" s="20" t="n">
        <v>2</v>
      </c>
      <c r="C35" s="3" t="s">
        <v>190</v>
      </c>
    </row>
    <row r="36" customFormat="false" ht="15" hidden="false" customHeight="true" outlineLevel="0" collapsed="false">
      <c r="A36" s="3" t="s">
        <v>191</v>
      </c>
      <c r="B36" s="20" t="n">
        <v>0</v>
      </c>
      <c r="C36" s="3" t="s">
        <v>192</v>
      </c>
    </row>
    <row r="37" customFormat="false" ht="15" hidden="false" customHeight="true" outlineLevel="0" collapsed="false">
      <c r="A37" s="3" t="s">
        <v>193</v>
      </c>
      <c r="B37" s="18" t="n">
        <v>0.15</v>
      </c>
      <c r="C37" s="3" t="s">
        <v>194</v>
      </c>
    </row>
    <row r="38" customFormat="false" ht="15" hidden="false" customHeight="true" outlineLevel="0" collapsed="false">
      <c r="A38" s="1" t="s">
        <v>195</v>
      </c>
      <c r="B38" s="13" t="s">
        <v>196</v>
      </c>
      <c r="C38" s="1" t="s">
        <v>197</v>
      </c>
    </row>
  </sheetData>
  <dataValidations count="15">
    <dataValidation allowBlank="false" error="Monthly spend must be greater than zero" errorStyle="stop" operator="greaterThan" showDropDown="false" showErrorMessage="true" showInputMessage="false" sqref="B4" type="decimal">
      <formula1>0</formula1>
      <formula2>0</formula2>
    </dataValidation>
    <dataValidation allowBlank="false" error="Compute share must be &gt; 0% and ≤ 100%" errorStyle="stop" operator="between" showDropDown="false" showErrorMessage="true" showInputMessage="false" sqref="B13" type="decimal">
      <formula1>0.0001</formula1>
      <formula2>1</formula2>
    </dataValidation>
    <dataValidation allowBlank="true" error="Enter a fraction between 0 and 1" errorStyle="stop" operator="between" showDropDown="false" showErrorMessage="true" showInputMessage="false" sqref="B9:B10 B12 B14 B37" type="decimal">
      <formula1>0</formula1>
      <formula2>1</formula2>
    </dataValidation>
    <dataValidation allowBlank="false" error="Utilization must be between 0.05 and 1.0" errorStyle="stop" operator="between" showDropDown="false" showErrorMessage="true" showInputMessage="false" sqref="B17" type="decimal">
      <formula1>0.05</formula1>
      <formula2>1</formula2>
    </dataValidation>
    <dataValidation allowBlank="true" error="Must be zero or positive" errorStyle="stop" operator="greaterThanOrEqual" showDropDown="false" showErrorMessage="true" showInputMessage="false" sqref="B11 B16 B21 B33:B35" type="decimal">
      <formula1>0</formula1>
      <formula2>0</formula2>
    </dataValidation>
    <dataValidation allowBlank="false" error="0 = off, 1 = N+1" errorStyle="stop" operator="between" showDropDown="false" showErrorMessage="true" showInputMessage="false" sqref="B36" type="whole">
      <formula1>0</formula1>
      <formula2>1</formula2>
    </dataValidation>
    <dataValidation allowBlank="false" error="Workbook supports A100/H100/H200/B200. B300: use the web calculator." errorStyle="stop" operator="between" showDropDown="false" showErrorMessage="true" showInputMessage="false" sqref="B8" type="list">
      <formula1>"A100,H100,H200,B200"</formula1>
      <formula2>0</formula2>
    </dataValidation>
    <dataValidation allowBlank="false" error="Auto or Known" errorStyle="stop" operator="between" showDropDown="false" showErrorMessage="true" showInputMessage="false" sqref="B38" type="list">
      <formula1>"Auto,Known"</formula1>
      <formula2>0</formula2>
    </dataValidation>
    <dataValidation allowBlank="false" error="Self-hosted, Self-hosted (retrofit), or Equinix" errorStyle="stop" operator="between" showDropDown="false" showErrorMessage="true" showInputMessage="false" sqref="B15" type="list">
      <formula1>"Self-hosted,Self-hosted (retrofit),Equinix"</formula1>
      <formula2>0</formula2>
    </dataValidation>
    <dataValidation allowBlank="false" error="Note: non-AWS deliberately hard-stops this workbook" errorStyle="stop" operator="between" showDropDown="false" showErrorMessage="true" showInputMessage="false" sqref="B5" type="list">
      <formula1>"AWS,Azure,GCP,OCI,CoreWeave"</formula1>
      <formula2>0</formula2>
    </dataValidation>
    <dataValidation allowBlank="false" error="Network factor: documented range 1.0-2.5x" errorStyle="stop" operator="between" showDropDown="false" showErrorMessage="true" showInputMessage="false" sqref="B24" type="decimal">
      <formula1>1</formula1>
      <formula2>2.5</formula2>
    </dataValidation>
    <dataValidation allowBlank="false" error="AI Factory software factor: documented range 1.0-10x" errorStyle="stop" operator="between" showDropDown="false" showErrorMessage="true" showInputMessage="false" sqref="B25" type="decimal">
      <formula1>1</formula1>
      <formula2>10</formula2>
    </dataValidation>
    <dataValidation allowBlank="false" error="NVAIE/NIMs factor: documented range 1.0-5x" errorStyle="stop" operator="between" showDropDown="false" showErrorMessage="true" showInputMessage="false" sqref="B26" type="decimal">
      <formula1>1</formula1>
      <formula2>5</formula2>
    </dataValidation>
    <dataValidation allowBlank="true" error="Lease factor must be positive when entered" errorStyle="stop" operator="greaterThan" showDropDown="false" showErrorMessage="true" showInputMessage="false" sqref="B29" type="decimal">
      <formula1>0</formula1>
      <formula2>0</formula2>
    </dataValidation>
    <dataValidation allowBlank="true" error="Lease term must be a positive number of months" errorStyle="stop" operator="greaterThan" showDropDown="false" showErrorMessage="true" showInputMessage="false" sqref="B3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7"/>
    <col collapsed="false" customWidth="true" hidden="false" outlineLevel="0" max="3" min="3" style="1" width="62"/>
  </cols>
  <sheetData>
    <row r="1" customFormat="false" ht="15" hidden="false" customHeight="true" outlineLevel="0" collapsed="false">
      <c r="A1" s="5" t="s">
        <v>198</v>
      </c>
      <c r="B1" s="5" t="s">
        <v>31</v>
      </c>
      <c r="C1" s="5" t="s">
        <v>199</v>
      </c>
    </row>
    <row r="3" customFormat="false" ht="15" hidden="false" customHeight="true" outlineLevel="0" collapsed="false">
      <c r="A3" s="6" t="s">
        <v>200</v>
      </c>
    </row>
    <row r="4" customFormat="false" ht="15" hidden="false" customHeight="true" outlineLevel="0" collapsed="false">
      <c r="A4" s="3" t="s">
        <v>201</v>
      </c>
      <c r="B4" s="23" t="n">
        <f aca="false">IF(Inputs!$B$5&lt;&gt;"AWS",NA(),(Inputs!$B$10*(INDEX(CloudRates!$C$3:$C$6,MATCH(Inputs!$B$8,CloudRates!$A$3:$A$6,0))+RateCard!$B$6)+(1-Inputs!$B$10)*(INDEX(CloudRates!$D$3:$D$6,MATCH(Inputs!$B$8,CloudRates!$A$3:$A$6,0))+RateCard!$B$7))*(1+RateCard!$B$15))</f>
        <v>35.9</v>
      </c>
      <c r="C4" s="3" t="s">
        <v>202</v>
      </c>
    </row>
    <row r="5" customFormat="false" ht="15" hidden="false" customHeight="true" outlineLevel="0" collapsed="false">
      <c r="A5" s="3" t="s">
        <v>203</v>
      </c>
      <c r="B5" s="24" t="n">
        <f aca="false">Inputs!$B$4*Inputs!$B$13</f>
        <v>52539.5</v>
      </c>
      <c r="C5" s="3" t="s">
        <v>204</v>
      </c>
    </row>
    <row r="6" customFormat="false" ht="15" hidden="false" customHeight="true" outlineLevel="0" collapsed="false">
      <c r="A6" s="3" t="s">
        <v>205</v>
      </c>
      <c r="B6" s="25" t="n">
        <f aca="false">B5/B4</f>
        <v>1463.49582172702</v>
      </c>
      <c r="C6" s="3"/>
    </row>
    <row r="7" customFormat="false" ht="15" hidden="false" customHeight="true" outlineLevel="0" collapsed="false">
      <c r="A7" s="3" t="s">
        <v>206</v>
      </c>
      <c r="B7" s="25" t="n">
        <f aca="false">IF(Inputs!$B$21&gt;0,Inputs!$B$21,B6*INDEX(CloudRates!$E$3:$E$6,MATCH(Inputs!$B$8,CloudRates!$A$3:$A$6,0)))</f>
        <v>11707.9665738162</v>
      </c>
      <c r="C7" s="3" t="s">
        <v>207</v>
      </c>
    </row>
    <row r="9" customFormat="false" ht="15" hidden="false" customHeight="true" outlineLevel="0" collapsed="false">
      <c r="A9" s="6" t="s">
        <v>208</v>
      </c>
    </row>
    <row r="10" customFormat="false" ht="15" hidden="false" customHeight="true" outlineLevel="0" collapsed="false">
      <c r="A10" s="3" t="s">
        <v>209</v>
      </c>
      <c r="B10" s="26" t="n">
        <f aca="false">1/(Inputs!$B$9/INDEX(PerfFactors!$B$3:$B$6,MATCH(Inputs!$B$8,PerfFactors!$A$3:$A$6,0))+(1-Inputs!$B$9)/INDEX(PerfFactors!$D$3:$D$6,MATCH(Inputs!$B$8,PerfFactors!$A$3:$A$6,0)))</f>
        <v>2.83870967741935</v>
      </c>
      <c r="C10" s="3" t="s">
        <v>210</v>
      </c>
    </row>
    <row r="11" customFormat="false" ht="15" hidden="false" customHeight="true" outlineLevel="0" collapsed="false">
      <c r="A11" s="3" t="s">
        <v>211</v>
      </c>
      <c r="B11" s="26" t="n">
        <f aca="false">B10*Inputs!$B$24*Inputs!$B$25*Inputs!$B$26</f>
        <v>4.79741935483871</v>
      </c>
      <c r="C11" s="3" t="s">
        <v>212</v>
      </c>
    </row>
    <row r="12" customFormat="false" ht="15" hidden="false" customHeight="true" outlineLevel="0" collapsed="false">
      <c r="A12" s="3" t="s">
        <v>213</v>
      </c>
      <c r="B12" s="25" t="n">
        <f aca="false">B7/B11</f>
        <v>2440.47178448293</v>
      </c>
      <c r="C12" s="3"/>
    </row>
    <row r="13" customFormat="false" ht="15" hidden="false" customHeight="true" outlineLevel="0" collapsed="false">
      <c r="A13" s="3" t="s">
        <v>214</v>
      </c>
      <c r="B13" s="25" t="n">
        <f aca="false">B7</f>
        <v>11707.9665738162</v>
      </c>
      <c r="C13" s="3" t="s">
        <v>215</v>
      </c>
    </row>
    <row r="15" customFormat="false" ht="15" hidden="false" customHeight="true" outlineLevel="0" collapsed="false">
      <c r="A15" s="6" t="s">
        <v>216</v>
      </c>
    </row>
    <row r="16" customFormat="false" ht="15" hidden="false" customHeight="true" outlineLevel="0" collapsed="false">
      <c r="A16" s="3" t="s">
        <v>217</v>
      </c>
      <c r="B16" s="25" t="n">
        <f aca="false">INDEX(Hardware!$B$3:$B$6,MATCH(Inputs!$B$18,Hardware!$A$3:$A$6,0))</f>
        <v>8</v>
      </c>
      <c r="C16" s="3"/>
    </row>
    <row r="17" customFormat="false" ht="15" hidden="false" customHeight="true" outlineLevel="0" collapsed="false">
      <c r="A17" s="3" t="s">
        <v>218</v>
      </c>
      <c r="B17" s="25" t="n">
        <f aca="false">B16*RateCard!$B$36*Inputs!$B$17</f>
        <v>4964</v>
      </c>
      <c r="C17" s="3" t="s">
        <v>219</v>
      </c>
    </row>
    <row r="18" customFormat="false" ht="15" hidden="false" customHeight="true" outlineLevel="0" collapsed="false">
      <c r="A18" s="3" t="s">
        <v>220</v>
      </c>
      <c r="B18" s="25" t="n">
        <f aca="false">CEILING(B12/B17,1)+Inputs!$B$36</f>
        <v>1</v>
      </c>
      <c r="C18" s="3"/>
    </row>
    <row r="19" customFormat="false" ht="15" hidden="false" customHeight="true" outlineLevel="0" collapsed="false">
      <c r="A19" s="3" t="s">
        <v>221</v>
      </c>
      <c r="B19" s="25" t="n">
        <f aca="false">CEILING(B13/B17,1)+Inputs!$B$36</f>
        <v>3</v>
      </c>
      <c r="C19" s="3"/>
    </row>
    <row r="20" customFormat="false" ht="15" hidden="false" customHeight="true" outlineLevel="0" collapsed="false">
      <c r="A20" s="3" t="s">
        <v>222</v>
      </c>
      <c r="B20" s="27" t="n">
        <f aca="false">1-B12/((B18-Inputs!$B$36)*B17)</f>
        <v>0.508365877420845</v>
      </c>
      <c r="C20" s="3" t="s">
        <v>223</v>
      </c>
    </row>
    <row r="22" customFormat="false" ht="15" hidden="false" customHeight="true" outlineLevel="0" collapsed="false">
      <c r="A22" s="6" t="s">
        <v>224</v>
      </c>
    </row>
    <row r="23" customFormat="false" ht="15" hidden="false" customHeight="true" outlineLevel="0" collapsed="false">
      <c r="A23" s="3" t="s">
        <v>225</v>
      </c>
      <c r="B23" s="28" t="n">
        <f aca="false">B62*Inputs!$B$12</f>
        <v>0.247453968253968</v>
      </c>
      <c r="C23" s="3"/>
    </row>
    <row r="24" customFormat="false" ht="15" hidden="false" customHeight="true" outlineLevel="0" collapsed="false">
      <c r="A24" s="3" t="s">
        <v>226</v>
      </c>
      <c r="B24" s="28" t="n">
        <f aca="false">B62*(1-Inputs!$B$12)</f>
        <v>0.742361904761905</v>
      </c>
      <c r="C24" s="3"/>
    </row>
    <row r="25" customFormat="false" ht="15" hidden="false" customHeight="true" outlineLevel="0" collapsed="false">
      <c r="A25" s="3" t="s">
        <v>227</v>
      </c>
      <c r="B25" s="24" t="n">
        <f aca="false">B23*1000000*RateCard!$B$8+B24*1000000*RateCard!$B$9+B62*1000000*RateCard!$B$11*RateCard!$B$10</f>
        <v>51965.3333333333</v>
      </c>
      <c r="C25" s="3" t="s">
        <v>228</v>
      </c>
    </row>
    <row r="26" customFormat="false" ht="15" hidden="false" customHeight="true" outlineLevel="0" collapsed="false">
      <c r="A26" s="3" t="s">
        <v>229</v>
      </c>
      <c r="B26" s="24" t="n">
        <f aca="false">RateCard!$B$13/12+RateCard!$B$14*RateCard!$B$12/12</f>
        <v>574.166666666667</v>
      </c>
      <c r="C26" s="3"/>
    </row>
    <row r="28" customFormat="false" ht="15" hidden="false" customHeight="true" outlineLevel="0" collapsed="false">
      <c r="A28" s="6" t="s">
        <v>230</v>
      </c>
    </row>
    <row r="29" customFormat="false" ht="15" hidden="false" customHeight="true" outlineLevel="0" collapsed="false">
      <c r="A29" s="3" t="s">
        <v>231</v>
      </c>
      <c r="B29" s="24" t="n">
        <f aca="false">IF(OR(INDEX(Hardware!$J$3:$J$6,MATCH(Inputs!$B$18,Hardware!$A$3:$A$6,0))&lt;&gt;"YES",INDEX(Hardware!$B$3:$B$6,MATCH(Inputs!$B$18,Hardware!$A$3:$A$6,0))=0),NA(),INDEX(Hardware!$C$3:$C$6,MATCH(Inputs!$B$18,Hardware!$A$3:$A$6,0))+INDEX(Hardware!$D$3:$D$6,MATCH(Inputs!$B$18,Hardware!$A$3:$A$6,0))+INDEX(Hardware!$E$3:$E$6,MATCH(Inputs!$B$18,Hardware!$A$3:$A$6,0))+INDEX(Hardware!$F$3:$F$6,MATCH(Inputs!$B$18,Hardware!$A$3:$A$6,0))+INDEX(Hardware!$G$3:$G$6,MATCH(Inputs!$B$18,Hardware!$A$3:$A$6,0))+RateCard!$B$20)</f>
        <v>744793</v>
      </c>
      <c r="C29" s="3" t="s">
        <v>232</v>
      </c>
    </row>
    <row r="30" customFormat="false" ht="15" hidden="false" customHeight="true" outlineLevel="0" collapsed="false">
      <c r="A30" s="3" t="s">
        <v>233</v>
      </c>
      <c r="B30" s="25" t="n">
        <f aca="false">CEILING(B18/INDEX(Hardware!$I$3:$I$6,MATCH(Inputs!$B$18,Hardware!$A$3:$A$6,0)),1)</f>
        <v>1</v>
      </c>
      <c r="C30" s="3"/>
    </row>
    <row r="31" customFormat="false" ht="15" hidden="false" customHeight="true" outlineLevel="0" collapsed="false">
      <c r="A31" s="3" t="s">
        <v>234</v>
      </c>
      <c r="B31" s="24" t="n">
        <f aca="false">B18*B29+RateCard!$B$19+B30*RateCard!$B$21</f>
        <v>1359793</v>
      </c>
      <c r="C31" s="3" t="s">
        <v>235</v>
      </c>
    </row>
    <row r="32" customFormat="false" ht="15" hidden="false" customHeight="true" outlineLevel="0" collapsed="false">
      <c r="A32" s="3" t="s">
        <v>236</v>
      </c>
      <c r="B32" s="24" t="n">
        <f aca="false">B23*RateCard!$B$22+B24*RateCard!$B$24</f>
        <v>668125.714285714</v>
      </c>
      <c r="C32" s="3"/>
    </row>
    <row r="33" customFormat="false" ht="15" hidden="false" customHeight="true" outlineLevel="0" collapsed="false">
      <c r="A33" s="3" t="s">
        <v>237</v>
      </c>
      <c r="B33" s="24" t="n">
        <f aca="false">B31+B32</f>
        <v>2027918.71428571</v>
      </c>
      <c r="C33" s="3"/>
    </row>
    <row r="34" customFormat="false" ht="15" hidden="false" customHeight="true" outlineLevel="0" collapsed="false">
      <c r="A34" s="3" t="s">
        <v>238</v>
      </c>
      <c r="B34" s="28" t="n">
        <f aca="false">INDEX(Hardware!$H$3:$H$6,MATCH(Inputs!$B$18,Hardware!$A$3:$A$6,0))</f>
        <v>14.4</v>
      </c>
      <c r="C34" s="3"/>
    </row>
    <row r="35" customFormat="false" ht="15" hidden="false" customHeight="true" outlineLevel="0" collapsed="false">
      <c r="A35" s="3" t="s">
        <v>239</v>
      </c>
      <c r="B35" s="24" t="n">
        <f aca="false">(B18*B34+B62*RateCard!$B$26)*Inputs!$B$16</f>
        <v>7289.44761904762</v>
      </c>
      <c r="C35" s="3" t="s">
        <v>240</v>
      </c>
    </row>
    <row r="36" customFormat="false" ht="15" hidden="false" customHeight="true" outlineLevel="0" collapsed="false">
      <c r="A36" s="3" t="s">
        <v>241</v>
      </c>
      <c r="B36" s="28" t="n">
        <f aca="false">B30+B62*RateCard!$B$27</f>
        <v>1.98981587301587</v>
      </c>
      <c r="C36" s="3"/>
    </row>
    <row r="37" customFormat="false" ht="15" hidden="false" customHeight="true" outlineLevel="0" collapsed="false">
      <c r="A37" s="3" t="s">
        <v>242</v>
      </c>
      <c r="B37" s="24" t="n">
        <f aca="false">RateCard!$B$29+RateCard!$B$30*B36/RateCard!$B$38</f>
        <v>3110.54532627866</v>
      </c>
      <c r="C37" s="3" t="s">
        <v>243</v>
      </c>
    </row>
    <row r="38" customFormat="false" ht="15" hidden="false" customHeight="true" outlineLevel="0" collapsed="false">
      <c r="A38" s="3" t="s">
        <v>244</v>
      </c>
      <c r="B38" s="24" t="n">
        <f aca="false">B18/RateCard!$B$31*RateCard!$B$32/12</f>
        <v>1575</v>
      </c>
      <c r="C38" s="3" t="s">
        <v>240</v>
      </c>
    </row>
    <row r="39" customFormat="false" ht="15" hidden="false" customHeight="true" outlineLevel="0" collapsed="false">
      <c r="A39" s="3" t="s">
        <v>245</v>
      </c>
      <c r="B39" s="24" t="n">
        <f aca="false">(B23*RateCard!$B$23+B24*RateCard!$B$25)/12</f>
        <v>4124.21218306878</v>
      </c>
      <c r="C39" s="3" t="s">
        <v>246</v>
      </c>
    </row>
    <row r="40" customFormat="false" ht="15" hidden="false" customHeight="true" outlineLevel="0" collapsed="false">
      <c r="A40" s="3" t="s">
        <v>247</v>
      </c>
      <c r="B40" s="24" t="n">
        <f aca="false">B35+B37+B38+B39</f>
        <v>16099.2051283951</v>
      </c>
      <c r="C40" s="3"/>
    </row>
    <row r="41" customFormat="false" ht="15" hidden="false" customHeight="true" outlineLevel="0" collapsed="false">
      <c r="A41" s="3" t="s">
        <v>248</v>
      </c>
      <c r="B41" s="24" t="n">
        <f aca="false">B18*RateCard!$B$33+B39</f>
        <v>15511.2121830688</v>
      </c>
      <c r="C41" s="3" t="s">
        <v>249</v>
      </c>
    </row>
    <row r="42" customFormat="false" ht="15" hidden="false" customHeight="true" outlineLevel="0" collapsed="false">
      <c r="A42" s="3" t="s">
        <v>250</v>
      </c>
      <c r="B42" s="24" t="n">
        <f aca="false">IF(Inputs!$B$15="Equinix",B41,B40)</f>
        <v>16099.2051283951</v>
      </c>
      <c r="C42" s="3"/>
    </row>
    <row r="44" customFormat="false" ht="15" hidden="false" customHeight="true" outlineLevel="0" collapsed="false">
      <c r="A44" s="6" t="s">
        <v>251</v>
      </c>
    </row>
    <row r="45" customFormat="false" ht="15" hidden="false" customHeight="true" outlineLevel="0" collapsed="false">
      <c r="A45" s="3" t="s">
        <v>252</v>
      </c>
      <c r="B45" s="24" t="n">
        <f aca="false">B19*B29+RateCard!$B$19+CEILING(B19/INDEX(Hardware!$I$3:$I$6,MATCH(Inputs!$B$18,Hardware!$A$3:$A$6,0)),1)*RateCard!$B$21+B32</f>
        <v>3532504.71428571</v>
      </c>
      <c r="C45" s="3"/>
    </row>
    <row r="46" customFormat="false" ht="15" hidden="false" customHeight="true" outlineLevel="0" collapsed="false">
      <c r="A46" s="3" t="s">
        <v>253</v>
      </c>
      <c r="B46" s="24" t="n">
        <f aca="false">(B19*B34+B62*RateCard!$B$26)*Inputs!$B$16+RateCard!$B$29+RateCard!$B$30*(CEILING(B19/INDEX(Hardware!$I$3:$I$6,MATCH(Inputs!$B$18,Hardware!$A$3:$A$6,0)),1)+B62*RateCard!$B$27)/RateCard!$B$38+B19/RateCard!$B$31*RateCard!$B$32/12+B39</f>
        <v>27944.7606839506</v>
      </c>
      <c r="C46" s="3"/>
    </row>
    <row r="47" customFormat="false" ht="15" hidden="false" customHeight="true" outlineLevel="0" collapsed="false">
      <c r="A47" s="3" t="s">
        <v>254</v>
      </c>
      <c r="B47" s="24" t="n">
        <f aca="false">B19*RateCard!$B$33+B39</f>
        <v>38285.2121830688</v>
      </c>
      <c r="C47" s="3"/>
    </row>
    <row r="48" customFormat="false" ht="15" hidden="false" customHeight="true" outlineLevel="0" collapsed="false">
      <c r="A48" s="3" t="s">
        <v>255</v>
      </c>
      <c r="B48" s="24" t="n">
        <f aca="false">IF(Inputs!$B$15="Equinix",B47,B46)</f>
        <v>27944.7606839506</v>
      </c>
      <c r="C48" s="3"/>
    </row>
    <row r="50" customFormat="false" ht="15" hidden="false" customHeight="true" outlineLevel="0" collapsed="false">
      <c r="A50" s="6" t="s">
        <v>256</v>
      </c>
    </row>
    <row r="51" customFormat="false" ht="15" hidden="false" customHeight="true" outlineLevel="0" collapsed="false">
      <c r="A51" s="3" t="s">
        <v>257</v>
      </c>
      <c r="B51" s="24" t="str">
        <f aca="false">IF(ISBLANK(Inputs!$B$29),"not entered",B33*Inputs!$B$29+B42)</f>
        <v>not entered</v>
      </c>
      <c r="C51" s="3" t="s">
        <v>258</v>
      </c>
    </row>
    <row r="52" customFormat="false" ht="15" hidden="false" customHeight="true" outlineLevel="0" collapsed="false">
      <c r="A52" s="3" t="s">
        <v>259</v>
      </c>
      <c r="B52" s="24" t="str">
        <f aca="false">IF(ISBLANK(Inputs!$B$29),"not entered",B45*Inputs!$B$29+B48)</f>
        <v>not entered</v>
      </c>
      <c r="C52" s="3"/>
    </row>
    <row r="53" customFormat="false" ht="15" hidden="false" customHeight="true" outlineLevel="0" collapsed="false">
      <c r="A53" s="6" t="s">
        <v>260</v>
      </c>
    </row>
    <row r="54" customFormat="false" ht="15" hidden="false" customHeight="true" outlineLevel="0" collapsed="false">
      <c r="A54" s="3" t="s">
        <v>261</v>
      </c>
      <c r="B54" s="24" t="n">
        <f aca="false">Inputs!$B$33+Inputs!$B$34+Inputs!$B$35*Inputs!$B$4+B62*1000000*RateCard!$B$10</f>
        <v>359648.793650794</v>
      </c>
      <c r="C54" s="3" t="s">
        <v>262</v>
      </c>
    </row>
    <row r="55" customFormat="false" ht="15" hidden="false" customHeight="true" outlineLevel="0" collapsed="false">
      <c r="A55" s="3" t="s">
        <v>263</v>
      </c>
      <c r="B55" s="24" t="n">
        <f aca="false">Inputs!$B$37*(B18*(B29-RateCard!$B$20-INDEX(Hardware!$D$3:$D$6,MATCH(Inputs!$B$18,Hardware!$A$3:$A$6,0)))+B32)</f>
        <v>186767.807142857</v>
      </c>
      <c r="C55" s="3" t="s">
        <v>264</v>
      </c>
    </row>
    <row r="56" customFormat="false" ht="15" hidden="false" customHeight="true" outlineLevel="0" collapsed="false">
      <c r="A56" s="3" t="s">
        <v>265</v>
      </c>
      <c r="B56" s="24" t="n">
        <f aca="false">Inputs!$B$37*(B19*(B29-RateCard!$B$20-INDEX(Hardware!$D$3:$D$6,MATCH(Inputs!$B$18,Hardware!$A$3:$A$6,0)))+B32)</f>
        <v>359865.707142857</v>
      </c>
      <c r="C56" s="3"/>
    </row>
    <row r="57" customFormat="false" ht="15" hidden="false" customHeight="true" outlineLevel="0" collapsed="false">
      <c r="A57" s="1" t="s">
        <v>266</v>
      </c>
    </row>
    <row r="58" customFormat="false" ht="15" hidden="false" customHeight="true" outlineLevel="0" collapsed="false">
      <c r="A58" s="1" t="s">
        <v>267</v>
      </c>
      <c r="B58" s="24" t="n">
        <f aca="false">Engine!$B$25+Engine!$B$26</f>
        <v>52539.5</v>
      </c>
    </row>
    <row r="59" customFormat="false" ht="15" hidden="false" customHeight="true" outlineLevel="0" collapsed="false">
      <c r="A59" s="1" t="s">
        <v>268</v>
      </c>
      <c r="B59" s="24" t="n">
        <f aca="false">Inputs!$B$4*(1-Inputs!$B$13)</f>
        <v>52539.5</v>
      </c>
    </row>
    <row r="60" customFormat="false" ht="15" hidden="false" customHeight="true" outlineLevel="0" collapsed="false">
      <c r="A60" s="1" t="s">
        <v>269</v>
      </c>
      <c r="B60" s="4" t="str">
        <f aca="false">IF(B58&gt;B59*1.02,"⚠ OVERALLOCATED: reconstructed storage+egress+admin exceed the stated non-compute budget by $"&amp;TEXT(B58-B59,"#,##0")&amp;"/mo — reduce storage PB or raise the bill",IF(B58&lt;B59*0.98,"ℹ UNALLOCATED: $"&amp;TEXT(B59-B58,"#,##0")&amp;"/mo of the stated bill is not explained by entered components (PaaS, other services?)","OK — within 2% tolerance (difference $"&amp;TEXT(B58-B59,"#,##0")&amp;"/mo)"))</f>
        <v>OK — within 2% tolerance (difference $0/mo)</v>
      </c>
    </row>
    <row r="61" customFormat="false" ht="15" hidden="false" customHeight="true" outlineLevel="0" collapsed="false">
      <c r="A61" s="1" t="s">
        <v>270</v>
      </c>
      <c r="B61" s="29" t="n">
        <f aca="false">MAX(0,(Inputs!$B$4*(1-Inputs!$B$13)-B26)/(Inputs!$B$12*1000000*RateCard!$B$8+(1-Inputs!$B$12)*1000000*RateCard!$B$9+1000000*RateCard!$B$11*RateCard!$B$10))</f>
        <v>0.989815873015873</v>
      </c>
    </row>
    <row r="62" customFormat="false" ht="15" hidden="false" customHeight="true" outlineLevel="0" collapsed="false">
      <c r="A62" s="1" t="s">
        <v>271</v>
      </c>
      <c r="B62" s="29" t="n">
        <f aca="false">IF(Inputs!$B$38="Auto",B61,Inputs!$B$11)</f>
        <v>0.989815873015873</v>
      </c>
    </row>
    <row r="63" customFormat="false" ht="15" hidden="false" customHeight="true" outlineLevel="0" collapsed="false">
      <c r="A63" s="1" t="s">
        <v>272</v>
      </c>
      <c r="B63" s="30" t="b">
        <f aca="false">AND(Inputs!$B$5="AWS",NOT(ISNA(MATCH(Inputs!$B$8,CloudRates!$A$3:$A$6,0))),NOT(ISNA(MATCH(Inputs!$B$18,Hardware!$A$3:$A$6,0))),IFERROR(INDEX(Hardware!$J$3:$J$6,MATCH(Inputs!$B$18,Hardware!$A$3:$A$6,0))="YES",FALSE()),ISNUMBER(Inputs!$B$4),Inputs!$B$4&gt;0,ISNUMBER(Inputs!$B$13),Inputs!$B$13&gt;0,Inputs!$B$13&lt;=1,ISNUMBER(Inputs!$B$9),Inputs!$B$9&gt;=0,Inputs!$B$9&lt;=1,ISNUMBER(Inputs!$B$10),Inputs!$B$10&gt;=0,Inputs!$B$10&lt;=1,ISNUMBER(Inputs!$B$12),Inputs!$B$12&gt;=0,Inputs!$B$12&lt;=1,ISNUMBER(Inputs!$B$17),Inputs!$B$17&gt;0,Inputs!$B$17&lt;=1,ISNUMBER(Inputs!$B$14),Inputs!$B$14&gt;=0,ISNUMBER(Inputs!$B$37),Inputs!$B$37&gt;=0,Inputs!$B$37&lt;=1,ISNUMBER(Inputs!$B$33),Inputs!$B$33&gt;=0,ISNUMBER(Inputs!$B$34),Inputs!$B$34&gt;=0,ISNUMBER(Inputs!$B$35),Inputs!$B$35&gt;=0,ISNUMBER(Inputs!$B$11),Inputs!$B$11&gt;=0,ISNUMBER(Inputs!$B$16),Inputs!$B$16&gt;=0,ISNUMBER(Inputs!$B$24),Inputs!$B$24&gt;=1,Inputs!$B$24&lt;=2.5,ISNUMBER(Inputs!$B$25),Inputs!$B$25&gt;=1,Inputs!$B$25&lt;=10,ISNUMBER(Inputs!$B$26),Inputs!$B$26&gt;=1,Inputs!$B$26&lt;=5,ISNUMBER(Inputs!$B$21),Inputs!$B$21&gt;=0,OR(ISBLANK(Inputs!$B$29),AND(ISNUMBER(Inputs!$B$29),Inputs!$B$29&gt;0)),OR(ISBLANK(Inputs!$B$30),AND(ISNUMBER(Inputs!$B$30),Inputs!$B$30&gt;0)),OR(Inputs!$B$36=0,Inputs!$B$36=1),OR(Inputs!$B$15="Self-hosted",Inputs!$B$15="Self-hosted (retrofit)",Inputs!$B$15="Equinix"),OR(Inputs!$B$38="Auto",Inputs!$B$38="Known"))</f>
        <v>1</v>
      </c>
    </row>
    <row r="64" customFormat="false" ht="15" hidden="false" customHeight="true" outlineLevel="0" collapsed="false">
      <c r="A64" s="1" t="s">
        <v>273</v>
      </c>
      <c r="B64" s="1" t="n">
        <f aca="false">IF(Inputs!$B$14=0,999,LN(1/(1-B20))/LN(1+Inputs!$B$14))</f>
        <v>3.18190011877922</v>
      </c>
    </row>
    <row r="65" customFormat="false" ht="15" hidden="false" customHeight="true" outlineLevel="0" collapsed="false">
      <c r="A65" s="1" t="s">
        <v>274</v>
      </c>
      <c r="B65" s="1" t="n">
        <f aca="false">IF(Inputs!$B$14=0,999,LN(1/(1-(1-B13/((B19-Inputs!$B$36)*B17))))/LN(1+Inputs!$B$14))</f>
        <v>1.0780264128397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7" min="2" style="1" width="15"/>
  </cols>
  <sheetData>
    <row r="1" customFormat="false" ht="15" hidden="false" customHeight="true" outlineLevel="0" collapsed="false">
      <c r="A1" s="5" t="s">
        <v>275</v>
      </c>
    </row>
    <row r="2" customFormat="false" ht="15" hidden="false" customHeight="true" outlineLevel="0" collapsed="false">
      <c r="A2" s="3" t="s">
        <v>276</v>
      </c>
    </row>
    <row r="4" customFormat="false" ht="15" hidden="false" customHeight="true" outlineLevel="0" collapsed="false">
      <c r="A4" s="6" t="s">
        <v>277</v>
      </c>
    </row>
    <row r="5" customFormat="false" ht="15" hidden="false" customHeight="true" outlineLevel="0" collapsed="false">
      <c r="A5" s="5"/>
      <c r="B5" s="5" t="s">
        <v>278</v>
      </c>
      <c r="C5" s="5" t="s">
        <v>279</v>
      </c>
      <c r="D5" s="5" t="s">
        <v>280</v>
      </c>
      <c r="E5" s="5" t="s">
        <v>281</v>
      </c>
      <c r="F5" s="5" t="s">
        <v>282</v>
      </c>
    </row>
    <row r="6" customFormat="false" ht="15" hidden="false" customHeight="true" outlineLevel="0" collapsed="false">
      <c r="A6" s="3" t="s">
        <v>283</v>
      </c>
      <c r="B6" s="24" t="n">
        <f aca="false">IF(Engine!$B$63=FALSE(),"N/A — see input guard",12*(Inputs!$B$4*Inputs!$B$13*(1+Inputs!$B$14)^0+Inputs!$B$4*(1-Inputs!$B$13)*(1+RateCard!$B$37)^0))</f>
        <v>1260948</v>
      </c>
      <c r="C6" s="24" t="n">
        <f aca="false">IF(Engine!$B$63=FALSE(),"N/A — see input guard",12*(Inputs!$B$4*Inputs!$B$13*(1+Inputs!$B$14)^1+Inputs!$B$4*(1-Inputs!$B$13)*(1+RateCard!$B$37)^1))</f>
        <v>1443785.46</v>
      </c>
      <c r="D6" s="24" t="n">
        <f aca="false">IF(Engine!$B$63=FALSE(),"N/A — see input guard",12*(Inputs!$B$4*Inputs!$B$13*(1+Inputs!$B$14)^2+Inputs!$B$4*(1-Inputs!$B$13)*(1+RateCard!$B$37)^2))</f>
        <v>1667036.3034</v>
      </c>
      <c r="E6" s="24" t="n">
        <f aca="false">IF(Engine!$B$63=FALSE(),"N/A — see input guard",12*(Inputs!$B$4*Inputs!$B$13*(1+Inputs!$B$14)^3+Inputs!$B$4*(1-Inputs!$B$13)*(1+RateCard!$B$37)^3))</f>
        <v>1940592.036786</v>
      </c>
      <c r="F6" s="24" t="n">
        <f aca="false">IF(Engine!$B$63=FALSE(),"N/A — see input guard",12*(Inputs!$B$4*Inputs!$B$13*(1+Inputs!$B$14)^4+Inputs!$B$4*(1-Inputs!$B$13)*(1+RateCard!$B$37)^4))</f>
        <v>2276808.56981994</v>
      </c>
    </row>
    <row r="7" customFormat="false" ht="15" hidden="false" customHeight="true" outlineLevel="0" collapsed="false">
      <c r="A7" s="3" t="s">
        <v>284</v>
      </c>
      <c r="B7" s="24" t="n">
        <f aca="false">IF(Engine!$B$63=FALSE(),"N/A — see input guard",12*Engine!$B$42*(1+RateCard!$B$37)^0)</f>
        <v>193190.461540741</v>
      </c>
      <c r="C7" s="24" t="n">
        <f aca="false">IF(Engine!$B$63=FALSE(),"N/A — see input guard",12*Engine!$B$42*(1+RateCard!$B$37)^1)</f>
        <v>200918.08000237</v>
      </c>
      <c r="D7" s="24" t="n">
        <f aca="false">IF(Engine!$B$63=FALSE(),"N/A — see input guard",12*Engine!$B$42*(1+RateCard!$B$37)^2)</f>
        <v>208954.803202465</v>
      </c>
      <c r="E7" s="24" t="n">
        <f aca="false">IF(Engine!$B$63=FALSE(),"N/A — see input guard",12*Engine!$B$42*(1+RateCard!$B$37)^3)</f>
        <v>217312.995330564</v>
      </c>
      <c r="F7" s="24" t="n">
        <f aca="false">IF(Engine!$B$63=FALSE(),"N/A — see input guard",12*Engine!$B$42*(1+RateCard!$B$37)^4)</f>
        <v>226005.515143786</v>
      </c>
    </row>
    <row r="8" customFormat="false" ht="15" hidden="false" customHeight="true" outlineLevel="0" collapsed="false">
      <c r="A8" s="3" t="s">
        <v>285</v>
      </c>
      <c r="B8" s="24" t="n">
        <f aca="false">IF(Engine!$B$63=FALSE(),"N/A — see input guard",12*Engine!$B$48*(1+RateCard!$B$37)^0)</f>
        <v>335337.128207407</v>
      </c>
      <c r="C8" s="24" t="n">
        <f aca="false">IF(Engine!$B$63=FALSE(),"N/A — see input guard",12*Engine!$B$48*(1+RateCard!$B$37)^1)</f>
        <v>348750.613335704</v>
      </c>
      <c r="D8" s="24" t="n">
        <f aca="false">IF(Engine!$B$63=FALSE(),"N/A — see input guard",12*Engine!$B$48*(1+RateCard!$B$37)^2)</f>
        <v>362700.637869132</v>
      </c>
      <c r="E8" s="24" t="n">
        <f aca="false">IF(Engine!$B$63=FALSE(),"N/A — see input guard",12*Engine!$B$48*(1+RateCard!$B$37)^3)</f>
        <v>377208.663383897</v>
      </c>
      <c r="F8" s="24" t="n">
        <f aca="false">IF(Engine!$B$63=FALSE(),"N/A — see input guard",12*Engine!$B$48*(1+RateCard!$B$37)^4)</f>
        <v>392297.009919253</v>
      </c>
    </row>
    <row r="10" customFormat="false" ht="15" hidden="false" customHeight="true" outlineLevel="0" collapsed="false">
      <c r="A10" s="6" t="s">
        <v>286</v>
      </c>
    </row>
    <row r="11" customFormat="false" ht="15" hidden="false" customHeight="true" outlineLevel="0" collapsed="false">
      <c r="A11" s="5"/>
      <c r="B11" s="5" t="s">
        <v>287</v>
      </c>
      <c r="C11" s="5" t="s">
        <v>288</v>
      </c>
      <c r="D11" s="5" t="s">
        <v>289</v>
      </c>
    </row>
    <row r="12" customFormat="false" ht="15" hidden="false" customHeight="true" outlineLevel="0" collapsed="false">
      <c r="A12" s="3" t="s">
        <v>290</v>
      </c>
      <c r="B12" s="24" t="n">
        <f aca="false">SUM($B$6:B6)</f>
        <v>1260948</v>
      </c>
      <c r="C12" s="24" t="n">
        <f aca="false">SUM($B$6:D6)</f>
        <v>4371769.7634</v>
      </c>
      <c r="D12" s="24" t="n">
        <f aca="false">SUM($B$6:F6)</f>
        <v>8589170.37000594</v>
      </c>
    </row>
    <row r="13" customFormat="false" ht="15" hidden="false" customHeight="true" outlineLevel="0" collapsed="false">
      <c r="A13" s="3" t="s">
        <v>291</v>
      </c>
      <c r="B13" s="24" t="n">
        <f aca="false">IF(Engine!$B$63=FALSE(),"N/A — see input guard",IF(Engine!$B$65&lt;1,"N/A — capacity exhausted yr "&amp;TEXT(Engine!$B$65,"0.0")&amp;"; use web model",Engine!$B$45+Engine!$B$54-Engine!$B$56+SUM($B$8:B8)))</f>
        <v>3867624.92900106</v>
      </c>
      <c r="C13" s="24" t="str">
        <f aca="false">IF(Engine!$B$63=FALSE(),"N/A — see input guard",IF(Engine!$B$65&lt;3,"N/A — capacity exhausted yr "&amp;TEXT(Engine!$B$65,"0.0")&amp;"; use web model",Engine!$B$45+Engine!$B$54-Engine!$B$56+SUM($B$8:D8)))</f>
        <v>N/A — capacity exhausted yr 1.1; use web model</v>
      </c>
      <c r="D13" s="24" t="str">
        <f aca="false">IF(Engine!$B$63=FALSE(),"N/A — see input guard",IF(Engine!$B$65&lt;5,"N/A — capacity exhausted yr "&amp;TEXT(Engine!$B$65,"0.0")&amp;"; use web model",Engine!$B$45+Engine!$B$54-Engine!$B$56+SUM($B$8:F8)))</f>
        <v>N/A — capacity exhausted yr 1.1; use web model</v>
      </c>
    </row>
    <row r="14" customFormat="false" ht="15" hidden="false" customHeight="true" outlineLevel="0" collapsed="false">
      <c r="A14" s="4" t="s">
        <v>292</v>
      </c>
      <c r="B14" s="24" t="n">
        <f aca="false">IF(ISNUMBER(B13),B12-B13,"N/A — see on-prem total")</f>
        <v>-2606676.92900106</v>
      </c>
      <c r="C14" s="24" t="str">
        <f aca="false">IF(ISNUMBER(C13),C12-C13,"N/A — see on-prem total")</f>
        <v>N/A — see on-prem total</v>
      </c>
      <c r="D14" s="24" t="str">
        <f aca="false">IF(ISNUMBER(D13),D12-D13,"N/A — see on-prem total")</f>
        <v>N/A — see on-prem total</v>
      </c>
    </row>
    <row r="15" customFormat="false" ht="15" hidden="false" customHeight="true" outlineLevel="0" collapsed="false">
      <c r="A15" s="3" t="s">
        <v>293</v>
      </c>
      <c r="B15" s="27" t="n">
        <f aca="false">IF(ISNUMBER(B14),B14/B12,"—")</f>
        <v>-2.0672358646043</v>
      </c>
      <c r="C15" s="27" t="str">
        <f aca="false">IF(ISNUMBER(C14),C14/C12,"—")</f>
        <v>—</v>
      </c>
      <c r="D15" s="27" t="str">
        <f aca="false">IF(ISNUMBER(D14),D14/D12,"—")</f>
        <v>—</v>
      </c>
    </row>
    <row r="16" customFormat="false" ht="15" hidden="false" customHeight="true" outlineLevel="0" collapsed="false">
      <c r="A16" s="3" t="s">
        <v>294</v>
      </c>
      <c r="B16" s="24" t="n">
        <f aca="false">IF(Engine!$B$63=FALSE(),"N/A — see input guard",IF(Engine!$B$64&lt;1,"N/A — capacity exhausted yr "&amp;TEXT(Engine!$B$64,"0.0")&amp;"; use web model",Engine!$B$33+Engine!$B$54-Engine!$B$55+SUM($B$7:B7)))</f>
        <v>2393990.16233439</v>
      </c>
      <c r="C16" s="24" t="n">
        <f aca="false">IF(Engine!$B$63=FALSE(),"N/A — see input guard",IF(Engine!$B$64&lt;3,"N/A — capacity exhausted yr "&amp;TEXT(Engine!$B$64,"0.0")&amp;"; use web model",Engine!$B$33+Engine!$B$54-Engine!$B$55+SUM($B$7:D7)))</f>
        <v>2803863.04553923</v>
      </c>
      <c r="D16" s="24" t="str">
        <f aca="false">IF(Engine!$B$63=FALSE(),"N/A — see input guard",IF(Engine!$B$64&lt;5,"N/A — capacity exhausted yr "&amp;TEXT(Engine!$B$64,"0.0")&amp;"; use web model",Engine!$B$33+Engine!$B$54-Engine!$B$55+SUM($B$7:F7)))</f>
        <v>N/A — capacity exhausted yr 3.2; use web model</v>
      </c>
    </row>
    <row r="17" customFormat="false" ht="15" hidden="false" customHeight="true" outlineLevel="0" collapsed="false">
      <c r="A17" s="4" t="s">
        <v>295</v>
      </c>
      <c r="B17" s="24" t="n">
        <f aca="false">IF(ISNUMBER(B16),B12-B16,"N/A — see on-prem total")</f>
        <v>-1133042.16233439</v>
      </c>
      <c r="C17" s="24" t="n">
        <f aca="false">IF(ISNUMBER(C16),C12-C16,"N/A — see on-prem total")</f>
        <v>1567906.71786077</v>
      </c>
      <c r="D17" s="24" t="str">
        <f aca="false">IF(ISNUMBER(D16),D12-D16,"N/A — see on-prem total")</f>
        <v>N/A — see on-prem total</v>
      </c>
    </row>
    <row r="18" customFormat="false" ht="15" hidden="false" customHeight="true" outlineLevel="0" collapsed="false">
      <c r="A18" s="3" t="s">
        <v>296</v>
      </c>
      <c r="B18" s="27" t="n">
        <f aca="false">IF(ISNUMBER(B17),B17/B12,"—")</f>
        <v>-0.898563749127158</v>
      </c>
      <c r="C18" s="27" t="n">
        <f aca="false">IF(ISNUMBER(C17),C17/C12,"—")</f>
        <v>0.358643479120773</v>
      </c>
      <c r="D18" s="27" t="str">
        <f aca="false">IF(ISNUMBER(D17),D17/D12,"—")</f>
        <v>—</v>
      </c>
    </row>
    <row r="20" customFormat="false" ht="15" hidden="false" customHeight="true" outlineLevel="0" collapsed="false">
      <c r="A20" s="6" t="s">
        <v>297</v>
      </c>
    </row>
    <row r="21" customFormat="false" ht="15" hidden="false" customHeight="true" outlineLevel="0" collapsed="false">
      <c r="A21" s="3" t="s">
        <v>298</v>
      </c>
      <c r="B21" s="31" t="str">
        <f aca="false">IF(Engine!$B$63=FALSE(),"N/A — see input guard",Engine!$B$18&amp;" / "&amp;Engine!$B$19)</f>
        <v>1 / 3</v>
      </c>
    </row>
    <row r="22" customFormat="false" ht="15" hidden="false" customHeight="true" outlineLevel="0" collapsed="false">
      <c r="A22" s="3" t="s">
        <v>299</v>
      </c>
      <c r="B22" s="24" t="n">
        <f aca="false">IF(Engine!$B$63=FALSE(),"N/A — see input guard",Engine!$B$33)</f>
        <v>2027918.71428571</v>
      </c>
    </row>
    <row r="23" customFormat="false" ht="15" hidden="false" customHeight="true" outlineLevel="0" collapsed="false">
      <c r="A23" s="3" t="s">
        <v>300</v>
      </c>
      <c r="B23" s="27" t="str">
        <f aca="false">IF(Engine!$B$63=FALSE(),"N/A — see input guard",TEXT(Engine!$B$20,"0.0%")&amp;" / "&amp;TEXT(1-Engine!$B$13/((Engine!$B$19-Inputs!$B$36)*Engine!$B$17),"0.0%"))</f>
        <v>50.8% / 21.4%</v>
      </c>
    </row>
    <row r="24" customFormat="false" ht="15" hidden="false" customHeight="true" outlineLevel="0" collapsed="false">
      <c r="A24" s="3" t="s">
        <v>301</v>
      </c>
      <c r="B24" s="28" t="str">
        <f aca="false">IF(Engine!$B$63=FALSE(),"N/A — see input guard",IF(Inputs!$B$14=0,"n/a (no growth)",TEXT(LN(1/(1-Engine!$B$20))/LN(1+Inputs!$B$14),"0.0")&amp;" / "&amp;TEXT(LN(1/(1-(1-Engine!$B$13/((Engine!$B$19-Inputs!$B$36)*Engine!$B$17))))/LN(1+Inputs!$B$14),"0.0")))</f>
        <v>3.2 / 1.1</v>
      </c>
    </row>
    <row r="25" customFormat="false" ht="15" hidden="false" customHeight="true" outlineLevel="0" collapsed="false">
      <c r="A25" s="3" t="s">
        <v>302</v>
      </c>
      <c r="B25" s="24" t="n">
        <f aca="false">IF(Engine!$B$63=FALSE(),"N/A — see input guard",Engine!$B$25)</f>
        <v>51965.3333333333</v>
      </c>
    </row>
    <row r="26" customFormat="false" ht="15" hidden="false" customHeight="true" outlineLevel="0" collapsed="false">
      <c r="A26" s="3" t="s">
        <v>303</v>
      </c>
      <c r="B26" s="28" t="str">
        <f aca="false">IF(Engine!$B$63=FALSE(),"see input guards — invalid input state for this workbook",IF(ISNA(MATCH(1,Crossover!$D$2:$D$61,0)),"no crossover within 60 months under the modeled trajectory",IF(Inputs!$B$14=0,"Month "&amp;MATCH(1,Crossover!$D$2:$D$61,0),IF(MATCH(1,Crossover!$D$2:$D$61,0)&gt;12*LN(1/(1-Engine!$B$20))/LN(1+Inputs!$B$14),"crossover cannot be determined in the workbook — additional capacity is required before breakeven; use the dynamic web model","Month "&amp;MATCH(1,Crossover!$D$2:$D$61,0)))))</f>
        <v>Month 25</v>
      </c>
    </row>
    <row r="27" customFormat="false" ht="15" hidden="false" customHeight="true" outlineLevel="0" collapsed="false">
      <c r="A27" s="3" t="s">
        <v>304</v>
      </c>
      <c r="B27" s="24" t="str">
        <f aca="false">IF(Engine!$B$63=FALSE(),"N/A — see input guard",Engine!$B$51)</f>
        <v>not entered</v>
      </c>
    </row>
    <row r="28" customFormat="false" ht="15" hidden="false" customHeight="true" outlineLevel="0" collapsed="false">
      <c r="A28" s="1" t="s">
        <v>261</v>
      </c>
      <c r="B28" s="24" t="n">
        <f aca="false">IF(Engine!$B$63=FALSE(),"N/A — see input guard",Engine!$B$54)</f>
        <v>359648.793650794</v>
      </c>
    </row>
    <row r="29" customFormat="false" ht="15" hidden="false" customHeight="true" outlineLevel="0" collapsed="false">
      <c r="A29" s="1" t="s">
        <v>263</v>
      </c>
      <c r="B29" s="24" t="n">
        <f aca="false">IF(Engine!$B$63=FALSE(),"N/A — see input guard",Engine!$B$55)</f>
        <v>186767.807142857</v>
      </c>
    </row>
    <row r="30" customFormat="false" ht="15" hidden="false" customHeight="true" outlineLevel="0" collapsed="false">
      <c r="A30" s="4" t="s">
        <v>305</v>
      </c>
      <c r="B30" s="28" t="n">
        <f aca="false">IF(Engine!$B$63=FALSE(),"N/A — see input guard",IF(Inputs!$B$14=0,"n/a (no growth)",MIN(LN(1/(1-Engine!$B$20))/LN(1+Inputs!$B$14),LN(1/(1-(1-Engine!$B$13/((Engine!$B$19-Inputs!$B$36)*Engine!$B$17))))/LN(1+Inputs!$B$14))))</f>
        <v>1.0780264128397</v>
      </c>
    </row>
    <row r="31" customFormat="false" ht="15" hidden="false" customHeight="true" outlineLevel="0" collapsed="false">
      <c r="A31" s="1" t="s">
        <v>306</v>
      </c>
    </row>
    <row r="32" customFormat="false" ht="15" hidden="false" customHeight="true" outlineLevel="0" collapsed="false">
      <c r="A32" s="1" t="s">
        <v>307</v>
      </c>
      <c r="B32" s="1" t="str">
        <f aca="false">IF(Engine!$B$63=FALSE(),"N/A — see input guard",Engine!$B$60)</f>
        <v>OK — within 2% tolerance (difference $0/mo)</v>
      </c>
    </row>
    <row r="33" customFormat="false" ht="15" hidden="false" customHeight="true" outlineLevel="0" collapsed="false">
      <c r="A33" s="1" t="s">
        <v>308</v>
      </c>
      <c r="B33" s="28" t="n">
        <f aca="false">IF(Engine!$B$63=FALSE(),"N/A — see input guard",IF(Inputs!$B$4-Engine!$B$42&lt;=0,"n/a (opex exceeds bill)",(Engine!$B$33+Engine!$B$54)/(Inputs!$B$4-Engine!$B$42)))</f>
        <v>26.8326928757444</v>
      </c>
    </row>
    <row r="34" customFormat="false" ht="15" hidden="false" customHeight="true" outlineLevel="0" collapsed="false">
      <c r="A34" s="1" t="s">
        <v>309</v>
      </c>
      <c r="B34" s="4" t="str">
        <f aca="false">IF(Inputs!$B$5&lt;&gt;"AWS","⚠ Workbook reference implementation supports AWS only — use the web calculator for this provider","AWS — OK")</f>
        <v>AWS — OK</v>
      </c>
    </row>
    <row r="35" customFormat="false" ht="15" hidden="false" customHeight="true" outlineLevel="0" collapsed="false">
      <c r="A35" s="1" t="s">
        <v>310</v>
      </c>
      <c r="B35" s="4" t="str">
        <f aca="false">IF(ISNA(MATCH(Inputs!$B$8,CloudRates!$A$3:$A$6,0)),"⚠ Unsupported GPU class in reference workbook — use A100/H100/H200/B200 or the web calculator","OK")</f>
        <v>OK</v>
      </c>
    </row>
    <row r="36" customFormat="false" ht="15" hidden="false" customHeight="true" outlineLevel="0" collapsed="false">
      <c r="A36" s="1" t="s">
        <v>311</v>
      </c>
      <c r="B36" s="4" t="str">
        <f aca="false">IF(Engine!$B$63,"OK — all inputs valid","⚠ Invalid input state (out-of-range or pasted value) — economics suppressed; see guards above")</f>
        <v>OK — all inputs valid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4" min="2" style="1" width="16"/>
  </cols>
  <sheetData>
    <row r="1" customFormat="false" ht="15" hidden="false" customHeight="true" outlineLevel="0" collapsed="false">
      <c r="A1" s="5" t="s">
        <v>312</v>
      </c>
    </row>
    <row r="2" customFormat="false" ht="15" hidden="false" customHeight="true" outlineLevel="0" collapsed="false">
      <c r="A2" s="3" t="s">
        <v>313</v>
      </c>
    </row>
    <row r="4" customFormat="false" ht="15" hidden="false" customHeight="true" outlineLevel="0" collapsed="false">
      <c r="A4" s="5" t="s">
        <v>314</v>
      </c>
      <c r="B4" s="5" t="s">
        <v>315</v>
      </c>
      <c r="C4" s="5" t="s">
        <v>316</v>
      </c>
      <c r="D4" s="5" t="s">
        <v>317</v>
      </c>
    </row>
    <row r="5" customFormat="false" ht="15" hidden="false" customHeight="true" outlineLevel="0" collapsed="false">
      <c r="A5" s="3" t="s">
        <v>318</v>
      </c>
      <c r="B5" s="25" t="n">
        <f aca="false">8*RateCard!$B$36</f>
        <v>5840</v>
      </c>
      <c r="C5" s="11" t="n">
        <v>5840</v>
      </c>
      <c r="D5" s="4" t="str">
        <f aca="false">IF(ABS(B5-C5)&lt;=MAX(1,0.0001*ABS(C5)),"PASS","FAIL")</f>
        <v>PASS</v>
      </c>
    </row>
    <row r="6" customFormat="false" ht="15" hidden="false" customHeight="true" outlineLevel="0" collapsed="false">
      <c r="A6" s="3" t="s">
        <v>319</v>
      </c>
      <c r="B6" s="24" t="n">
        <f aca="false">730*(RateCard!$B$5+RateCard!$B$7)</f>
        <v>52005.2</v>
      </c>
      <c r="C6" s="9" t="n">
        <v>52005</v>
      </c>
      <c r="D6" s="4" t="str">
        <f aca="false">IF(ABS(B6-C6)&lt;=MAX(1,0.0001*ABS(C6)),"PASS","FAIL")</f>
        <v>PASS</v>
      </c>
    </row>
    <row r="7" customFormat="false" ht="15" hidden="false" customHeight="true" outlineLevel="0" collapsed="false">
      <c r="A7" s="3" t="s">
        <v>320</v>
      </c>
      <c r="B7" s="24" t="n">
        <f aca="false">0.25*1000000*RateCard!$B$8+0.75*1000000*RateCard!$B$9+1*1000000*RateCard!$B$11*RateCard!$B$10</f>
        <v>52500</v>
      </c>
      <c r="C7" s="9" t="n">
        <v>52500</v>
      </c>
      <c r="D7" s="4" t="str">
        <f aca="false">IF(ABS(B7-C7)&lt;=MAX(1,0.0001*ABS(C7)),"PASS","FAIL")</f>
        <v>PASS</v>
      </c>
    </row>
    <row r="8" customFormat="false" ht="15" hidden="false" customHeight="true" outlineLevel="0" collapsed="false">
      <c r="A8" s="3" t="s">
        <v>321</v>
      </c>
      <c r="B8" s="24" t="n">
        <f aca="false">RateCard!$B$13/12+RateCard!$B$14*RateCard!$B$12/12</f>
        <v>574.166666666667</v>
      </c>
      <c r="C8" s="9" t="n">
        <v>574</v>
      </c>
      <c r="D8" s="4" t="str">
        <f aca="false">IF(ABS(B8-C8)&lt;=MAX(1,0.0001*ABS(C8)),"PASS","FAIL")</f>
        <v>PASS</v>
      </c>
    </row>
    <row r="9" customFormat="false" ht="15" hidden="false" customHeight="true" outlineLevel="0" collapsed="false">
      <c r="A9" s="3" t="s">
        <v>322</v>
      </c>
      <c r="B9" s="24" t="n">
        <f aca="false">B6+B7+B8</f>
        <v>105079.366666667</v>
      </c>
      <c r="C9" s="9" t="n">
        <v>105079</v>
      </c>
      <c r="D9" s="4" t="str">
        <f aca="false">IF(ABS(B9-C9)&lt;=MAX(1,0.0001*ABS(C9)),"PASS","FAIL")</f>
        <v>PASS</v>
      </c>
    </row>
    <row r="10" customFormat="false" ht="15" hidden="false" customHeight="true" outlineLevel="0" collapsed="false">
      <c r="A10" s="3" t="s">
        <v>323</v>
      </c>
      <c r="B10" s="24" t="n">
        <f aca="false">1*(485000+142800+54323+23443+14227+RateCard!$B$20)+RateCard!$B$19+1*RateCard!$B$21</f>
        <v>1359793</v>
      </c>
      <c r="C10" s="9" t="n">
        <v>1359793</v>
      </c>
      <c r="D10" s="4" t="str">
        <f aca="false">IF(ABS(B10-C10)&lt;=MAX(1,0.0001*ABS(C10)),"PASS","FAIL")</f>
        <v>PASS</v>
      </c>
    </row>
    <row r="11" customFormat="false" ht="15" hidden="false" customHeight="true" outlineLevel="0" collapsed="false">
      <c r="A11" s="3" t="s">
        <v>324</v>
      </c>
      <c r="B11" s="24" t="n">
        <f aca="false">0.25*RateCard!$B$22+0.75*RateCard!$B$24</f>
        <v>675000</v>
      </c>
      <c r="C11" s="9" t="n">
        <v>675000</v>
      </c>
      <c r="D11" s="4" t="str">
        <f aca="false">IF(ABS(B11-C11)&lt;=MAX(1,0.0001*ABS(C11)),"PASS","FAIL")</f>
        <v>PASS</v>
      </c>
    </row>
    <row r="12" customFormat="false" ht="15" hidden="false" customHeight="true" outlineLevel="0" collapsed="false">
      <c r="A12" s="3" t="s">
        <v>325</v>
      </c>
      <c r="B12" s="24" t="n">
        <f aca="false">(0.25*RateCard!$B$23+0.75*RateCard!$B$25)/12</f>
        <v>4166.64583333333</v>
      </c>
      <c r="C12" s="9" t="n">
        <v>4167</v>
      </c>
      <c r="D12" s="4" t="str">
        <f aca="false">IF(ABS(B12-C12)&lt;=MAX(1,0.0001*ABS(C12)),"PASS","FAIL")</f>
        <v>PASS</v>
      </c>
    </row>
    <row r="13" customFormat="false" ht="15" hidden="false" customHeight="true" outlineLevel="0" collapsed="false">
      <c r="A13" s="3" t="s">
        <v>326</v>
      </c>
      <c r="B13" s="24" t="n">
        <f aca="false">(1*14.4+1*RateCard!$B$26)*RateCard!$B$28</f>
        <v>7320</v>
      </c>
      <c r="C13" s="9" t="n">
        <v>7320</v>
      </c>
      <c r="D13" s="4" t="str">
        <f aca="false">IF(ABS(B13-C13)&lt;=MAX(1,0.0001*ABS(C13)),"PASS","FAIL")</f>
        <v>PASS</v>
      </c>
    </row>
    <row r="14" customFormat="false" ht="15" hidden="false" customHeight="true" outlineLevel="0" collapsed="false">
      <c r="A14" s="3" t="s">
        <v>327</v>
      </c>
      <c r="B14" s="24" t="n">
        <f aca="false">RateCard!$B$29+RateCard!$B$30*(1+0.75)/36</f>
        <v>3097.22222222222</v>
      </c>
      <c r="C14" s="9" t="n">
        <v>3097</v>
      </c>
      <c r="D14" s="4" t="str">
        <f aca="false">IF(ABS(B14-C14)&lt;=MAX(1,0.0001*ABS(C14)),"PASS","FAIL")</f>
        <v>PASS</v>
      </c>
    </row>
    <row r="15" customFormat="false" ht="15" hidden="false" customHeight="true" outlineLevel="0" collapsed="false">
      <c r="A15" s="3" t="s">
        <v>328</v>
      </c>
      <c r="B15" s="24" t="n">
        <f aca="false">1/RateCard!$B$31*RateCard!$B$32/12</f>
        <v>1575</v>
      </c>
      <c r="C15" s="9" t="n">
        <v>1575</v>
      </c>
      <c r="D15" s="4" t="str">
        <f aca="false">IF(ABS(B15-C15)&lt;=MAX(1,0.0001*ABS(C15)),"PASS","FAIL")</f>
        <v>PASS</v>
      </c>
    </row>
    <row r="16" customFormat="false" ht="15" hidden="false" customHeight="true" outlineLevel="0" collapsed="false">
      <c r="A16" s="3" t="s">
        <v>329</v>
      </c>
      <c r="B16" s="24" t="n">
        <f aca="false">B13+B14+B15</f>
        <v>11992.2222222222</v>
      </c>
      <c r="C16" s="9" t="n">
        <v>11992</v>
      </c>
      <c r="D16" s="4" t="str">
        <f aca="false">IF(ABS(B16-C16)&lt;=MAX(1,0.0001*ABS(C16)),"PASS","FAIL")</f>
        <v>PASS</v>
      </c>
    </row>
    <row r="17" customFormat="false" ht="15" hidden="false" customHeight="true" outlineLevel="0" collapsed="false">
      <c r="A17" s="3" t="s">
        <v>330</v>
      </c>
      <c r="B17" s="24" t="n">
        <f aca="false">1*RateCard!$B$33</f>
        <v>11387</v>
      </c>
      <c r="C17" s="9" t="n">
        <v>11387</v>
      </c>
      <c r="D17" s="4" t="str">
        <f aca="false">IF(ABS(B17-C17)&lt;=MAX(1,0.0001*ABS(C17)),"PASS","FAIL")</f>
        <v>PASS</v>
      </c>
    </row>
    <row r="18" customFormat="false" ht="15" hidden="false" customHeight="true" outlineLevel="0" collapsed="false">
      <c r="A18" s="3" t="s">
        <v>331</v>
      </c>
      <c r="B18" s="24" t="n">
        <f aca="false">B10*0.0281</f>
        <v>38210.1833</v>
      </c>
      <c r="C18" s="9" t="n">
        <v>38210</v>
      </c>
      <c r="D18" s="4" t="str">
        <f aca="false">IF(ABS(B18-C18)&lt;=MAX(1,0.0001*ABS(C18)),"PASS","FAIL")</f>
        <v>PASS</v>
      </c>
    </row>
    <row r="19" customFormat="false" ht="15" hidden="false" customHeight="true" outlineLevel="0" collapsed="false">
      <c r="A19" s="3" t="s">
        <v>332</v>
      </c>
      <c r="B19" s="24" t="n">
        <f aca="false">B11*0.0281+B12</f>
        <v>23134.1458333333</v>
      </c>
      <c r="C19" s="9" t="n">
        <v>23135</v>
      </c>
      <c r="D19" s="4" t="str">
        <f aca="false">IF(ABS(B19-C19)&lt;=MAX(1,0.0001*ABS(C19)),"PASS","FAIL")</f>
        <v>PASS</v>
      </c>
    </row>
    <row r="20" customFormat="false" ht="15" hidden="false" customHeight="true" outlineLevel="0" collapsed="false">
      <c r="A20" s="3" t="s">
        <v>333</v>
      </c>
      <c r="B20" s="24" t="n">
        <f aca="false">B18+B19+B16</f>
        <v>73336.5513555556</v>
      </c>
      <c r="C20" s="9" t="n">
        <v>73337</v>
      </c>
      <c r="D20" s="4" t="str">
        <f aca="false">IF(ABS(B20-C20)&lt;=MAX(1,0.0001*ABS(C20)),"PASS","FAIL")</f>
        <v>PASS</v>
      </c>
    </row>
    <row r="21" customFormat="false" ht="15" hidden="false" customHeight="true" outlineLevel="0" collapsed="false">
      <c r="A21" s="1" t="s">
        <v>334</v>
      </c>
    </row>
    <row r="22" customFormat="false" ht="15" hidden="false" customHeight="true" outlineLevel="0" collapsed="false">
      <c r="A22" s="4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4" min="2" style="1" width="17"/>
  </cols>
  <sheetData>
    <row r="1" customFormat="false" ht="15" hidden="false" customHeight="true" outlineLevel="0" collapsed="false">
      <c r="A1" s="6" t="s">
        <v>336</v>
      </c>
    </row>
    <row r="2" customFormat="false" ht="15" hidden="false" customHeight="true" outlineLevel="0" collapsed="false">
      <c r="A2" s="1" t="s">
        <v>337</v>
      </c>
    </row>
    <row r="4" customFormat="false" ht="15" hidden="false" customHeight="true" outlineLevel="0" collapsed="false">
      <c r="A4" s="4" t="s">
        <v>338</v>
      </c>
    </row>
    <row r="5" customFormat="false" ht="15" hidden="false" customHeight="true" outlineLevel="0" collapsed="false">
      <c r="A5" s="1" t="s">
        <v>339</v>
      </c>
      <c r="B5" s="13" t="n">
        <v>105079</v>
      </c>
    </row>
    <row r="6" customFormat="false" ht="15" hidden="false" customHeight="true" outlineLevel="0" collapsed="false">
      <c r="A6" s="1" t="s">
        <v>340</v>
      </c>
      <c r="B6" s="13" t="n">
        <v>0.49491</v>
      </c>
    </row>
    <row r="7" customFormat="false" ht="15" hidden="false" customHeight="true" outlineLevel="0" collapsed="false">
      <c r="A7" s="1" t="s">
        <v>341</v>
      </c>
      <c r="B7" s="13" t="s">
        <v>100</v>
      </c>
    </row>
    <row r="8" customFormat="false" ht="15" hidden="false" customHeight="true" outlineLevel="0" collapsed="false">
      <c r="A8" s="1" t="s">
        <v>342</v>
      </c>
      <c r="B8" s="13" t="n">
        <v>0.5</v>
      </c>
    </row>
    <row r="9" customFormat="false" ht="15" hidden="false" customHeight="true" outlineLevel="0" collapsed="false">
      <c r="A9" s="1" t="s">
        <v>343</v>
      </c>
      <c r="B9" s="13" t="n">
        <v>0</v>
      </c>
    </row>
    <row r="10" customFormat="false" ht="15" hidden="false" customHeight="true" outlineLevel="0" collapsed="false">
      <c r="A10" s="1" t="s">
        <v>344</v>
      </c>
      <c r="B10" s="13" t="n">
        <v>1</v>
      </c>
    </row>
    <row r="11" customFormat="false" ht="15" hidden="false" customHeight="true" outlineLevel="0" collapsed="false">
      <c r="A11" s="1" t="s">
        <v>345</v>
      </c>
      <c r="B11" s="13" t="n">
        <v>0.25</v>
      </c>
    </row>
    <row r="12" customFormat="false" ht="15" hidden="false" customHeight="true" outlineLevel="0" collapsed="false">
      <c r="A12" s="1" t="s">
        <v>346</v>
      </c>
      <c r="B12" s="13" t="n">
        <v>0</v>
      </c>
    </row>
    <row r="13" customFormat="false" ht="15" hidden="false" customHeight="true" outlineLevel="0" collapsed="false">
      <c r="A13" s="1" t="s">
        <v>347</v>
      </c>
      <c r="B13" s="13" t="s">
        <v>161</v>
      </c>
    </row>
    <row r="14" customFormat="false" ht="15" hidden="false" customHeight="true" outlineLevel="0" collapsed="false">
      <c r="A14" s="1" t="s">
        <v>348</v>
      </c>
      <c r="B14" s="13" t="n">
        <v>300</v>
      </c>
    </row>
    <row r="15" customFormat="false" ht="15" hidden="false" customHeight="true" outlineLevel="0" collapsed="false">
      <c r="A15" s="1" t="s">
        <v>349</v>
      </c>
      <c r="B15" s="13" t="n">
        <v>1</v>
      </c>
    </row>
    <row r="16" customFormat="false" ht="15" hidden="false" customHeight="true" outlineLevel="0" collapsed="false">
      <c r="A16" s="1" t="s">
        <v>350</v>
      </c>
      <c r="B16" s="13" t="s">
        <v>116</v>
      </c>
    </row>
    <row r="17" customFormat="false" ht="15" hidden="false" customHeight="true" outlineLevel="0" collapsed="false">
      <c r="A17" s="1" t="s">
        <v>351</v>
      </c>
      <c r="B17" s="13" t="n">
        <v>0</v>
      </c>
    </row>
    <row r="18" customFormat="false" ht="15" hidden="false" customHeight="true" outlineLevel="0" collapsed="false">
      <c r="A18" s="1" t="s">
        <v>352</v>
      </c>
      <c r="B18" s="13" t="s">
        <v>353</v>
      </c>
    </row>
    <row r="19" customFormat="false" ht="15" hidden="false" customHeight="true" outlineLevel="0" collapsed="false">
      <c r="A19" s="1" t="s">
        <v>354</v>
      </c>
      <c r="B19" s="13" t="s">
        <v>355</v>
      </c>
    </row>
    <row r="20" customFormat="false" ht="15" hidden="false" customHeight="true" outlineLevel="0" collapsed="false">
      <c r="A20" s="1" t="s">
        <v>356</v>
      </c>
      <c r="B20" s="13" t="s">
        <v>357</v>
      </c>
    </row>
    <row r="21" customFormat="false" ht="15" hidden="false" customHeight="true" outlineLevel="0" collapsed="false">
      <c r="A21" s="4" t="s">
        <v>358</v>
      </c>
      <c r="B21" s="31" t="str">
        <f aca="false">IF(AND(Inputs!$B$4=105079,ABS(Inputs!$B$13-0.49491)&lt;0.0001,Inputs!$B$9=0.5,Inputs!$B$10=0,Inputs!$B$11=1,Inputs!$B$12=0.25,Inputs!$B$14=0,Inputs!$B$16=300,Inputs!$B$17=1,Inputs!$B$24=1,Inputs!$B$25=1,Inputs!$B$26=1,Inputs!$B$21=0,Inputs!$B$34=0,Inputs!$B$35=0,Inputs!$B$36=0,Inputs!$B$37=0,Inputs!$B$33=0,Inputs!$B$8="B200",Inputs!$B$15="Self-hosted",Inputs!$B$18="DGX B200",Inputs!$B$5="AWS",Inputs!$B$38="Known"),"YES","NO — set fixture first")</f>
        <v>NO — set fixture first</v>
      </c>
    </row>
    <row r="23" customFormat="false" ht="15" hidden="false" customHeight="true" outlineLevel="0" collapsed="false">
      <c r="A23" s="5" t="s">
        <v>359</v>
      </c>
      <c r="B23" s="5" t="s">
        <v>360</v>
      </c>
      <c r="C23" s="5" t="s">
        <v>361</v>
      </c>
      <c r="D23" s="5" t="s">
        <v>317</v>
      </c>
    </row>
    <row r="24" customFormat="false" ht="15" hidden="false" customHeight="true" outlineLevel="0" collapsed="false">
      <c r="A24" s="1" t="s">
        <v>362</v>
      </c>
      <c r="B24" s="25" t="n">
        <f aca="false">Engine!$B$7</f>
        <v>11707.9665738162</v>
      </c>
      <c r="C24" s="11" t="n">
        <v>5840</v>
      </c>
      <c r="D24" s="4" t="str">
        <f aca="false">IF($B$21&lt;&gt;"YES","FIXTURE NOT LOADED",IF(ABS(B24-C24)&lt;=MAX(1,0.0001*MAX(ABS(C24),1)),"PASS","FAIL"))</f>
        <v>FIXTURE NOT LOADED</v>
      </c>
    </row>
    <row r="25" customFormat="false" ht="15" hidden="false" customHeight="true" outlineLevel="0" collapsed="false">
      <c r="A25" s="1" t="s">
        <v>363</v>
      </c>
      <c r="B25" s="23" t="n">
        <f aca="false">Engine!$B$4</f>
        <v>35.9</v>
      </c>
      <c r="C25" s="7" t="n">
        <v>71.24</v>
      </c>
      <c r="D25" s="4" t="str">
        <f aca="false">IF($B$21&lt;&gt;"YES","FIXTURE NOT LOADED",IF(ABS(B25-C25)&lt;=MAX(1,0.0001*MAX(ABS(C25),1)),"PASS","FAIL"))</f>
        <v>FIXTURE NOT LOADED</v>
      </c>
    </row>
    <row r="26" customFormat="false" ht="15" hidden="false" customHeight="true" outlineLevel="0" collapsed="false">
      <c r="A26" s="1" t="s">
        <v>364</v>
      </c>
      <c r="B26" s="26" t="n">
        <f aca="false">Engine!$B$11</f>
        <v>4.79741935483871</v>
      </c>
      <c r="C26" s="15" t="n">
        <v>1</v>
      </c>
      <c r="D26" s="4" t="str">
        <f aca="false">IF($B$21&lt;&gt;"YES","FIXTURE NOT LOADED",IF(ABS(B26-C26)&lt;=MAX(1,0.0001*MAX(ABS(C26),1)),"PASS","FAIL"))</f>
        <v>FIXTURE NOT LOADED</v>
      </c>
    </row>
    <row r="27" customFormat="false" ht="15" hidden="false" customHeight="true" outlineLevel="0" collapsed="false">
      <c r="A27" s="1" t="s">
        <v>365</v>
      </c>
      <c r="B27" s="25" t="n">
        <f aca="false">Engine!$B$18</f>
        <v>1</v>
      </c>
      <c r="C27" s="11" t="n">
        <v>1</v>
      </c>
      <c r="D27" s="4" t="str">
        <f aca="false">IF($B$21&lt;&gt;"YES","FIXTURE NOT LOADED",IF(ABS(B27-C27)&lt;=MAX(1,0.0001*MAX(ABS(C27),1)),"PASS","FAIL"))</f>
        <v>FIXTURE NOT LOADED</v>
      </c>
    </row>
    <row r="28" customFormat="false" ht="15" hidden="false" customHeight="true" outlineLevel="0" collapsed="false">
      <c r="A28" s="1" t="s">
        <v>366</v>
      </c>
      <c r="B28" s="25" t="n">
        <f aca="false">Engine!$B$19</f>
        <v>3</v>
      </c>
      <c r="C28" s="11" t="n">
        <v>1</v>
      </c>
      <c r="D28" s="4" t="str">
        <f aca="false">IF($B$21&lt;&gt;"YES","FIXTURE NOT LOADED",IF(ABS(B28-C28)&lt;=MAX(1,0.0001*MAX(ABS(C28),1)),"PASS","FAIL"))</f>
        <v>FIXTURE NOT LOADED</v>
      </c>
    </row>
    <row r="29" customFormat="false" ht="15" hidden="false" customHeight="true" outlineLevel="0" collapsed="false">
      <c r="A29" s="1" t="s">
        <v>367</v>
      </c>
      <c r="B29" s="24" t="n">
        <f aca="false">Engine!$B$31</f>
        <v>1359793</v>
      </c>
      <c r="C29" s="9" t="n">
        <v>1359793</v>
      </c>
      <c r="D29" s="4" t="str">
        <f aca="false">IF($B$21&lt;&gt;"YES","FIXTURE NOT LOADED",IF(ABS(B29-C29)&lt;=MAX(1,0.0001*MAX(ABS(C29),1)),"PASS","FAIL"))</f>
        <v>FIXTURE NOT LOADED</v>
      </c>
    </row>
    <row r="30" customFormat="false" ht="15" hidden="false" customHeight="true" outlineLevel="0" collapsed="false">
      <c r="A30" s="1" t="s">
        <v>368</v>
      </c>
      <c r="B30" s="24" t="n">
        <f aca="false">Engine!$B$32</f>
        <v>668125.714285714</v>
      </c>
      <c r="C30" s="9" t="n">
        <v>675000</v>
      </c>
      <c r="D30" s="4" t="str">
        <f aca="false">IF($B$21&lt;&gt;"YES","FIXTURE NOT LOADED",IF(ABS(B30-C30)&lt;=MAX(1,0.0001*MAX(ABS(C30),1)),"PASS","FAIL"))</f>
        <v>FIXTURE NOT LOADED</v>
      </c>
    </row>
    <row r="31" customFormat="false" ht="15" hidden="false" customHeight="true" outlineLevel="0" collapsed="false">
      <c r="A31" s="1" t="s">
        <v>369</v>
      </c>
      <c r="B31" s="24" t="n">
        <f aca="false">Engine!$B$39</f>
        <v>4124.21218306878</v>
      </c>
      <c r="C31" s="9" t="n">
        <v>4167</v>
      </c>
      <c r="D31" s="4" t="str">
        <f aca="false">IF($B$21&lt;&gt;"YES","FIXTURE NOT LOADED",IF(ABS(B31-C31)&lt;=MAX(1,0.0001*MAX(ABS(C31),1)),"PASS","FAIL"))</f>
        <v>FIXTURE NOT LOADED</v>
      </c>
    </row>
    <row r="32" customFormat="false" ht="15" hidden="false" customHeight="true" outlineLevel="0" collapsed="false">
      <c r="A32" s="1" t="s">
        <v>370</v>
      </c>
      <c r="B32" s="24" t="n">
        <f aca="false">Engine!$B$35</f>
        <v>7289.44761904762</v>
      </c>
      <c r="C32" s="9" t="n">
        <v>7320</v>
      </c>
      <c r="D32" s="4" t="str">
        <f aca="false">IF($B$21&lt;&gt;"YES","FIXTURE NOT LOADED",IF(ABS(B32-C32)&lt;=MAX(1,0.0001*MAX(ABS(C32),1)),"PASS","FAIL"))</f>
        <v>FIXTURE NOT LOADED</v>
      </c>
    </row>
    <row r="33" customFormat="false" ht="15" hidden="false" customHeight="true" outlineLevel="0" collapsed="false">
      <c r="A33" s="1" t="s">
        <v>371</v>
      </c>
      <c r="B33" s="24" t="n">
        <f aca="false">Engine!$B$37</f>
        <v>3110.54532627866</v>
      </c>
      <c r="C33" s="9" t="n">
        <v>3111</v>
      </c>
      <c r="D33" s="4" t="str">
        <f aca="false">IF($B$21&lt;&gt;"YES","FIXTURE NOT LOADED",IF(ABS(B33-C33)&lt;=MAX(1,0.0001*MAX(ABS(C33),1)),"PASS","FAIL"))</f>
        <v>FIXTURE NOT LOADED</v>
      </c>
    </row>
    <row r="34" customFormat="false" ht="15" hidden="false" customHeight="true" outlineLevel="0" collapsed="false">
      <c r="A34" s="1" t="s">
        <v>372</v>
      </c>
      <c r="B34" s="24" t="n">
        <f aca="false">Engine!$B$38</f>
        <v>1575</v>
      </c>
      <c r="C34" s="9" t="n">
        <v>1575</v>
      </c>
      <c r="D34" s="4" t="str">
        <f aca="false">IF($B$21&lt;&gt;"YES","FIXTURE NOT LOADED",IF(ABS(B34-C34)&lt;=MAX(1,0.0001*MAX(ABS(C34),1)),"PASS","FAIL"))</f>
        <v>FIXTURE NOT LOADED</v>
      </c>
    </row>
    <row r="35" customFormat="false" ht="15" hidden="false" customHeight="true" outlineLevel="0" collapsed="false">
      <c r="A35" s="1" t="s">
        <v>373</v>
      </c>
      <c r="B35" s="24" t="n">
        <f aca="false">Engine!$B$42</f>
        <v>16099.2051283951</v>
      </c>
      <c r="C35" s="9" t="n">
        <v>16173</v>
      </c>
      <c r="D35" s="4" t="str">
        <f aca="false">IF($B$21&lt;&gt;"YES","FIXTURE NOT LOADED",IF(ABS(B35-C35)&lt;=MAX(1,0.0001*MAX(ABS(C35),1)),"PASS","FAIL"))</f>
        <v>FIXTURE NOT LOADED</v>
      </c>
    </row>
    <row r="36" customFormat="false" ht="15" hidden="false" customHeight="true" outlineLevel="0" collapsed="false">
      <c r="A36" s="1" t="s">
        <v>374</v>
      </c>
      <c r="B36" s="24" t="n">
        <f aca="false">Engine!$B$54</f>
        <v>359648.793650794</v>
      </c>
      <c r="C36" s="9" t="n">
        <v>50000</v>
      </c>
      <c r="D36" s="4" t="str">
        <f aca="false">IF($B$21&lt;&gt;"YES","FIXTURE NOT LOADED",IF(ABS(B36-C36)&lt;=MAX(1,0.0001*MAX(ABS(C36),1)),"PASS","FAIL"))</f>
        <v>FIXTURE NOT LOADED</v>
      </c>
    </row>
    <row r="37" customFormat="false" ht="15" hidden="false" customHeight="true" outlineLevel="0" collapsed="false">
      <c r="A37" s="1" t="s">
        <v>375</v>
      </c>
      <c r="B37" s="24" t="n">
        <f aca="false">Engine!$B$55</f>
        <v>186767.807142857</v>
      </c>
      <c r="C37" s="9" t="n">
        <v>0</v>
      </c>
      <c r="D37" s="4" t="str">
        <f aca="false">IF($B$21&lt;&gt;"YES","FIXTURE NOT LOADED",IF(ABS(B37-C37)&lt;=MAX(1,0.0001*MAX(ABS(C37),1)),"PASS","FAIL"))</f>
        <v>FIXTURE NOT LOADED</v>
      </c>
    </row>
    <row r="38" customFormat="false" ht="15" hidden="false" customHeight="true" outlineLevel="0" collapsed="false">
      <c r="A38" s="1" t="s">
        <v>376</v>
      </c>
      <c r="B38" s="24" t="n">
        <f aca="false">Engine!$B$25</f>
        <v>51965.3333333333</v>
      </c>
      <c r="C38" s="9" t="n">
        <v>52500</v>
      </c>
      <c r="D38" s="4" t="str">
        <f aca="false">IF($B$21&lt;&gt;"YES","FIXTURE NOT LOADED",IF(ABS(B38-C38)&lt;=MAX(1,0.0001*MAX(ABS(C38),1)),"PASS","FAIL"))</f>
        <v>FIXTURE NOT LOADED</v>
      </c>
    </row>
    <row r="39" customFormat="false" ht="15" hidden="false" customHeight="true" outlineLevel="0" collapsed="false">
      <c r="A39" s="1" t="s">
        <v>377</v>
      </c>
      <c r="B39" s="24" t="n">
        <f aca="false">Engine!$B$26</f>
        <v>574.166666666667</v>
      </c>
      <c r="C39" s="9" t="n">
        <v>574</v>
      </c>
      <c r="D39" s="4" t="str">
        <f aca="false">IF($B$21&lt;&gt;"YES","FIXTURE NOT LOADED",IF(ABS(B39-C39)&lt;=MAX(1,0.0001*MAX(ABS(C39),1)),"PASS","FAIL"))</f>
        <v>FIXTURE NOT LOADED</v>
      </c>
    </row>
    <row r="40" customFormat="false" ht="15" hidden="false" customHeight="true" outlineLevel="0" collapsed="false">
      <c r="A40" s="1" t="s">
        <v>378</v>
      </c>
      <c r="B40" s="24" t="n">
        <f aca="false">Engine!$B$5+Engine!$B$25+Engine!$B$26</f>
        <v>105079</v>
      </c>
      <c r="C40" s="9" t="n">
        <v>105079</v>
      </c>
      <c r="D40" s="4" t="str">
        <f aca="false">IF($B$21&lt;&gt;"YES","FIXTURE NOT LOADED",IF(ABS(B40-C40)&lt;=MAX(1,0.0001*MAX(ABS(C40),1)),"PASS","FAIL"))</f>
        <v>FIXTURE NOT LOADED</v>
      </c>
    </row>
    <row r="41" customFormat="false" ht="15" hidden="false" customHeight="true" outlineLevel="0" collapsed="false">
      <c r="A41" s="1" t="s">
        <v>379</v>
      </c>
      <c r="B41" s="24" t="n">
        <f aca="false">Engine!$B$41</f>
        <v>15511.2121830688</v>
      </c>
      <c r="C41" s="9" t="n">
        <v>15554</v>
      </c>
      <c r="D41" s="4" t="str">
        <f aca="false">IF($B$21&lt;&gt;"YES","FIXTURE NOT LOADED",IF(ABS(B41-C41)&lt;=MAX(1,0.0001*MAX(ABS(C41),1)),"PASS","FAIL"))</f>
        <v>FIXTURE NOT LOADED</v>
      </c>
    </row>
    <row r="42" customFormat="false" ht="15" hidden="false" customHeight="true" outlineLevel="0" collapsed="false">
      <c r="A42" s="1" t="s">
        <v>380</v>
      </c>
      <c r="B42" s="31" t="str">
        <f aca="false">Engine!$B$51</f>
        <v>not entered</v>
      </c>
      <c r="C42" s="13" t="s">
        <v>381</v>
      </c>
      <c r="D42" s="4" t="str">
        <f aca="false">IF($B$21&lt;&gt;"YES","FIXTURE NOT LOADED",IF(B42=C42,"PASS","FAIL"))</f>
        <v>FIXTURE NOT LOADED</v>
      </c>
    </row>
    <row r="43" customFormat="false" ht="15" hidden="false" customHeight="true" outlineLevel="0" collapsed="false">
      <c r="A43" s="1" t="s">
        <v>382</v>
      </c>
      <c r="B43" s="31" t="str">
        <f aca="false">Results!$B$26</f>
        <v>Month 25</v>
      </c>
      <c r="C43" s="13" t="s">
        <v>383</v>
      </c>
      <c r="D43" s="4" t="str">
        <f aca="false">IF($B$21&lt;&gt;"YES","FIXTURE NOT LOADED",IF(B43=C43,"PASS","FAIL"))</f>
        <v>FIXTURE NOT LOADED</v>
      </c>
    </row>
    <row r="44" customFormat="false" ht="15" hidden="false" customHeight="true" outlineLevel="0" collapsed="false">
      <c r="A44" s="1" t="s">
        <v>384</v>
      </c>
    </row>
    <row r="45" customFormat="false" ht="15" hidden="false" customHeight="true" outlineLevel="0" collapsed="false">
      <c r="A45" s="4" t="s">
        <v>385</v>
      </c>
    </row>
    <row r="46" customFormat="false" ht="15" hidden="false" customHeight="true" outlineLevel="0" collapsed="false">
      <c r="A46" s="1" t="s">
        <v>386</v>
      </c>
    </row>
    <row r="47" customFormat="false" ht="15" hidden="false" customHeight="true" outlineLevel="0" collapsed="false">
      <c r="A47" s="1" t="s">
        <v>387</v>
      </c>
    </row>
    <row r="48" customFormat="false" ht="15" hidden="false" customHeight="true" outlineLevel="0" collapsed="false">
      <c r="A48" s="1" t="s">
        <v>388</v>
      </c>
    </row>
    <row r="49" customFormat="false" ht="15" hidden="false" customHeight="true" outlineLevel="0" collapsed="false">
      <c r="A49" s="1" t="s">
        <v>389</v>
      </c>
    </row>
    <row r="50" customFormat="false" ht="15" hidden="false" customHeight="true" outlineLevel="0" collapsed="false">
      <c r="A50" s="1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4" min="2" style="1" width="16"/>
  </cols>
  <sheetData>
    <row r="1" customFormat="false" ht="15" hidden="false" customHeight="true" outlineLevel="0" collapsed="false">
      <c r="A1" s="4" t="s">
        <v>391</v>
      </c>
      <c r="B1" s="4" t="s">
        <v>392</v>
      </c>
      <c r="C1" s="4" t="s">
        <v>393</v>
      </c>
      <c r="D1" s="4" t="s">
        <v>394</v>
      </c>
      <c r="F1" s="1" t="s">
        <v>395</v>
      </c>
    </row>
    <row r="2" customFormat="false" ht="15" hidden="false" customHeight="true" outlineLevel="0" collapsed="false">
      <c r="A2" s="1" t="n">
        <v>1</v>
      </c>
      <c r="B2" s="32" t="n">
        <f aca="false">(Inputs!$B$4*Inputs!$B$13*(1+Inputs!$B$14)^INT((1-1)/12)+Inputs!$B$4*(1-Inputs!$B$13)*(1+RateCard!$B$37)^INT((1-1)/12))</f>
        <v>105079</v>
      </c>
      <c r="C2" s="32" t="n">
        <f aca="false">Engine!$B$33+Engine!$B$54+(Engine!$B$42*(1+RateCard!$B$37)^INT((1-1)/12))</f>
        <v>2403666.7130649</v>
      </c>
      <c r="D2" s="1" t="n">
        <f aca="false">IF(B2&gt;=C2,1,0)</f>
        <v>0</v>
      </c>
    </row>
    <row r="3" customFormat="false" ht="15" hidden="false" customHeight="true" outlineLevel="0" collapsed="false">
      <c r="A3" s="1" t="n">
        <v>2</v>
      </c>
      <c r="B3" s="32" t="n">
        <f aca="false">B2+(Inputs!$B$4*Inputs!$B$13*(1+Inputs!$B$14)^INT((2-1)/12)+Inputs!$B$4*(1-Inputs!$B$13)*(1+RateCard!$B$37)^INT((2-1)/12))</f>
        <v>210158</v>
      </c>
      <c r="C3" s="32" t="n">
        <f aca="false">C2+(Engine!$B$42*(1+RateCard!$B$37)^INT((2-1)/12))</f>
        <v>2419765.9181933</v>
      </c>
      <c r="D3" s="1" t="n">
        <f aca="false">IF(B3&gt;=C3,1,0)</f>
        <v>0</v>
      </c>
    </row>
    <row r="4" customFormat="false" ht="15" hidden="false" customHeight="true" outlineLevel="0" collapsed="false">
      <c r="A4" s="1" t="n">
        <v>3</v>
      </c>
      <c r="B4" s="32" t="n">
        <f aca="false">B3+(Inputs!$B$4*Inputs!$B$13*(1+Inputs!$B$14)^INT((3-1)/12)+Inputs!$B$4*(1-Inputs!$B$13)*(1+RateCard!$B$37)^INT((3-1)/12))</f>
        <v>315237</v>
      </c>
      <c r="C4" s="32" t="n">
        <f aca="false">C3+(Engine!$B$42*(1+RateCard!$B$37)^INT((3-1)/12))</f>
        <v>2435865.12332169</v>
      </c>
      <c r="D4" s="1" t="n">
        <f aca="false">IF(B4&gt;=C4,1,0)</f>
        <v>0</v>
      </c>
    </row>
    <row r="5" customFormat="false" ht="15" hidden="false" customHeight="true" outlineLevel="0" collapsed="false">
      <c r="A5" s="1" t="n">
        <v>4</v>
      </c>
      <c r="B5" s="32" t="n">
        <f aca="false">B4+(Inputs!$B$4*Inputs!$B$13*(1+Inputs!$B$14)^INT((4-1)/12)+Inputs!$B$4*(1-Inputs!$B$13)*(1+RateCard!$B$37)^INT((4-1)/12))</f>
        <v>420316</v>
      </c>
      <c r="C5" s="32" t="n">
        <f aca="false">C4+(Engine!$B$42*(1+RateCard!$B$37)^INT((4-1)/12))</f>
        <v>2451964.32845009</v>
      </c>
      <c r="D5" s="1" t="n">
        <f aca="false">IF(B5&gt;=C5,1,0)</f>
        <v>0</v>
      </c>
    </row>
    <row r="6" customFormat="false" ht="15" hidden="false" customHeight="true" outlineLevel="0" collapsed="false">
      <c r="A6" s="1" t="n">
        <v>5</v>
      </c>
      <c r="B6" s="32" t="n">
        <f aca="false">B5+(Inputs!$B$4*Inputs!$B$13*(1+Inputs!$B$14)^INT((5-1)/12)+Inputs!$B$4*(1-Inputs!$B$13)*(1+RateCard!$B$37)^INT((5-1)/12))</f>
        <v>525395</v>
      </c>
      <c r="C6" s="32" t="n">
        <f aca="false">C5+(Engine!$B$42*(1+RateCard!$B$37)^INT((5-1)/12))</f>
        <v>2468063.53357848</v>
      </c>
      <c r="D6" s="1" t="n">
        <f aca="false">IF(B6&gt;=C6,1,0)</f>
        <v>0</v>
      </c>
    </row>
    <row r="7" customFormat="false" ht="15" hidden="false" customHeight="true" outlineLevel="0" collapsed="false">
      <c r="A7" s="1" t="n">
        <v>6</v>
      </c>
      <c r="B7" s="32" t="n">
        <f aca="false">B6+(Inputs!$B$4*Inputs!$B$13*(1+Inputs!$B$14)^INT((6-1)/12)+Inputs!$B$4*(1-Inputs!$B$13)*(1+RateCard!$B$37)^INT((6-1)/12))</f>
        <v>630474</v>
      </c>
      <c r="C7" s="32" t="n">
        <f aca="false">C6+(Engine!$B$42*(1+RateCard!$B$37)^INT((6-1)/12))</f>
        <v>2484162.73870688</v>
      </c>
      <c r="D7" s="1" t="n">
        <f aca="false">IF(B7&gt;=C7,1,0)</f>
        <v>0</v>
      </c>
    </row>
    <row r="8" customFormat="false" ht="15" hidden="false" customHeight="true" outlineLevel="0" collapsed="false">
      <c r="A8" s="1" t="n">
        <v>7</v>
      </c>
      <c r="B8" s="32" t="n">
        <f aca="false">B7+(Inputs!$B$4*Inputs!$B$13*(1+Inputs!$B$14)^INT((7-1)/12)+Inputs!$B$4*(1-Inputs!$B$13)*(1+RateCard!$B$37)^INT((7-1)/12))</f>
        <v>735553</v>
      </c>
      <c r="C8" s="32" t="n">
        <f aca="false">C7+(Engine!$B$42*(1+RateCard!$B$37)^INT((7-1)/12))</f>
        <v>2500261.94383527</v>
      </c>
      <c r="D8" s="1" t="n">
        <f aca="false">IF(B8&gt;=C8,1,0)</f>
        <v>0</v>
      </c>
    </row>
    <row r="9" customFormat="false" ht="15" hidden="false" customHeight="true" outlineLevel="0" collapsed="false">
      <c r="A9" s="1" t="n">
        <v>8</v>
      </c>
      <c r="B9" s="32" t="n">
        <f aca="false">B8+(Inputs!$B$4*Inputs!$B$13*(1+Inputs!$B$14)^INT((8-1)/12)+Inputs!$B$4*(1-Inputs!$B$13)*(1+RateCard!$B$37)^INT((8-1)/12))</f>
        <v>840632</v>
      </c>
      <c r="C9" s="32" t="n">
        <f aca="false">C8+(Engine!$B$42*(1+RateCard!$B$37)^INT((8-1)/12))</f>
        <v>2516361.14896367</v>
      </c>
      <c r="D9" s="1" t="n">
        <f aca="false">IF(B9&gt;=C9,1,0)</f>
        <v>0</v>
      </c>
    </row>
    <row r="10" customFormat="false" ht="15" hidden="false" customHeight="true" outlineLevel="0" collapsed="false">
      <c r="A10" s="1" t="n">
        <v>9</v>
      </c>
      <c r="B10" s="32" t="n">
        <f aca="false">B9+(Inputs!$B$4*Inputs!$B$13*(1+Inputs!$B$14)^INT((9-1)/12)+Inputs!$B$4*(1-Inputs!$B$13)*(1+RateCard!$B$37)^INT((9-1)/12))</f>
        <v>945711</v>
      </c>
      <c r="C10" s="32" t="n">
        <f aca="false">C9+(Engine!$B$42*(1+RateCard!$B$37)^INT((9-1)/12))</f>
        <v>2532460.35409206</v>
      </c>
      <c r="D10" s="1" t="n">
        <f aca="false">IF(B10&gt;=C10,1,0)</f>
        <v>0</v>
      </c>
    </row>
    <row r="11" customFormat="false" ht="15" hidden="false" customHeight="true" outlineLevel="0" collapsed="false">
      <c r="A11" s="1" t="n">
        <v>10</v>
      </c>
      <c r="B11" s="32" t="n">
        <f aca="false">B10+(Inputs!$B$4*Inputs!$B$13*(1+Inputs!$B$14)^INT((10-1)/12)+Inputs!$B$4*(1-Inputs!$B$13)*(1+RateCard!$B$37)^INT((10-1)/12))</f>
        <v>1050790</v>
      </c>
      <c r="C11" s="32" t="n">
        <f aca="false">C10+(Engine!$B$42*(1+RateCard!$B$37)^INT((10-1)/12))</f>
        <v>2548559.55922046</v>
      </c>
      <c r="D11" s="1" t="n">
        <f aca="false">IF(B11&gt;=C11,1,0)</f>
        <v>0</v>
      </c>
    </row>
    <row r="12" customFormat="false" ht="15" hidden="false" customHeight="true" outlineLevel="0" collapsed="false">
      <c r="A12" s="1" t="n">
        <v>11</v>
      </c>
      <c r="B12" s="32" t="n">
        <f aca="false">B11+(Inputs!$B$4*Inputs!$B$13*(1+Inputs!$B$14)^INT((11-1)/12)+Inputs!$B$4*(1-Inputs!$B$13)*(1+RateCard!$B$37)^INT((11-1)/12))</f>
        <v>1155869</v>
      </c>
      <c r="C12" s="32" t="n">
        <f aca="false">C11+(Engine!$B$42*(1+RateCard!$B$37)^INT((11-1)/12))</f>
        <v>2564658.76434885</v>
      </c>
      <c r="D12" s="1" t="n">
        <f aca="false">IF(B12&gt;=C12,1,0)</f>
        <v>0</v>
      </c>
    </row>
    <row r="13" customFormat="false" ht="15" hidden="false" customHeight="true" outlineLevel="0" collapsed="false">
      <c r="A13" s="1" t="n">
        <v>12</v>
      </c>
      <c r="B13" s="32" t="n">
        <f aca="false">B12+(Inputs!$B$4*Inputs!$B$13*(1+Inputs!$B$14)^INT((12-1)/12)+Inputs!$B$4*(1-Inputs!$B$13)*(1+RateCard!$B$37)^INT((12-1)/12))</f>
        <v>1260948</v>
      </c>
      <c r="C13" s="32" t="n">
        <f aca="false">C12+(Engine!$B$42*(1+RateCard!$B$37)^INT((12-1)/12))</f>
        <v>2580757.96947725</v>
      </c>
      <c r="D13" s="1" t="n">
        <f aca="false">IF(B13&gt;=C13,1,0)</f>
        <v>0</v>
      </c>
    </row>
    <row r="14" customFormat="false" ht="15" hidden="false" customHeight="true" outlineLevel="0" collapsed="false">
      <c r="A14" s="1" t="n">
        <v>13</v>
      </c>
      <c r="B14" s="32" t="n">
        <f aca="false">B13+(Inputs!$B$4*Inputs!$B$13*(1+Inputs!$B$14)^INT((13-1)/12)+Inputs!$B$4*(1-Inputs!$B$13)*(1+RateCard!$B$37)^INT((13-1)/12))</f>
        <v>1381263.455</v>
      </c>
      <c r="C14" s="32" t="n">
        <f aca="false">C13+(Engine!$B$42*(1+RateCard!$B$37)^INT((13-1)/12))</f>
        <v>2597501.14281078</v>
      </c>
      <c r="D14" s="1" t="n">
        <f aca="false">IF(B14&gt;=C14,1,0)</f>
        <v>0</v>
      </c>
    </row>
    <row r="15" customFormat="false" ht="15" hidden="false" customHeight="true" outlineLevel="0" collapsed="false">
      <c r="A15" s="1" t="n">
        <v>14</v>
      </c>
      <c r="B15" s="32" t="n">
        <f aca="false">B14+(Inputs!$B$4*Inputs!$B$13*(1+Inputs!$B$14)^INT((14-1)/12)+Inputs!$B$4*(1-Inputs!$B$13)*(1+RateCard!$B$37)^INT((14-1)/12))</f>
        <v>1501578.91</v>
      </c>
      <c r="C15" s="32" t="n">
        <f aca="false">C14+(Engine!$B$42*(1+RateCard!$B$37)^INT((14-1)/12))</f>
        <v>2614244.31614431</v>
      </c>
      <c r="D15" s="1" t="n">
        <f aca="false">IF(B15&gt;=C15,1,0)</f>
        <v>0</v>
      </c>
    </row>
    <row r="16" customFormat="false" ht="15" hidden="false" customHeight="true" outlineLevel="0" collapsed="false">
      <c r="A16" s="1" t="n">
        <v>15</v>
      </c>
      <c r="B16" s="32" t="n">
        <f aca="false">B15+(Inputs!$B$4*Inputs!$B$13*(1+Inputs!$B$14)^INT((15-1)/12)+Inputs!$B$4*(1-Inputs!$B$13)*(1+RateCard!$B$37)^INT((15-1)/12))</f>
        <v>1621894.365</v>
      </c>
      <c r="C16" s="32" t="n">
        <f aca="false">C15+(Engine!$B$42*(1+RateCard!$B$37)^INT((15-1)/12))</f>
        <v>2630987.48947784</v>
      </c>
      <c r="D16" s="1" t="n">
        <f aca="false">IF(B16&gt;=C16,1,0)</f>
        <v>0</v>
      </c>
    </row>
    <row r="17" customFormat="false" ht="15" hidden="false" customHeight="true" outlineLevel="0" collapsed="false">
      <c r="A17" s="1" t="n">
        <v>16</v>
      </c>
      <c r="B17" s="32" t="n">
        <f aca="false">B16+(Inputs!$B$4*Inputs!$B$13*(1+Inputs!$B$14)^INT((16-1)/12)+Inputs!$B$4*(1-Inputs!$B$13)*(1+RateCard!$B$37)^INT((16-1)/12))</f>
        <v>1742209.82</v>
      </c>
      <c r="C17" s="32" t="n">
        <f aca="false">C16+(Engine!$B$42*(1+RateCard!$B$37)^INT((16-1)/12))</f>
        <v>2647730.66281137</v>
      </c>
      <c r="D17" s="1" t="n">
        <f aca="false">IF(B17&gt;=C17,1,0)</f>
        <v>0</v>
      </c>
    </row>
    <row r="18" customFormat="false" ht="15" hidden="false" customHeight="true" outlineLevel="0" collapsed="false">
      <c r="A18" s="1" t="n">
        <v>17</v>
      </c>
      <c r="B18" s="32" t="n">
        <f aca="false">B17+(Inputs!$B$4*Inputs!$B$13*(1+Inputs!$B$14)^INT((17-1)/12)+Inputs!$B$4*(1-Inputs!$B$13)*(1+RateCard!$B$37)^INT((17-1)/12))</f>
        <v>1862525.275</v>
      </c>
      <c r="C18" s="32" t="n">
        <f aca="false">C17+(Engine!$B$42*(1+RateCard!$B$37)^INT((17-1)/12))</f>
        <v>2664473.8361449</v>
      </c>
      <c r="D18" s="1" t="n">
        <f aca="false">IF(B18&gt;=C18,1,0)</f>
        <v>0</v>
      </c>
    </row>
    <row r="19" customFormat="false" ht="15" hidden="false" customHeight="true" outlineLevel="0" collapsed="false">
      <c r="A19" s="1" t="n">
        <v>18</v>
      </c>
      <c r="B19" s="32" t="n">
        <f aca="false">B18+(Inputs!$B$4*Inputs!$B$13*(1+Inputs!$B$14)^INT((18-1)/12)+Inputs!$B$4*(1-Inputs!$B$13)*(1+RateCard!$B$37)^INT((18-1)/12))</f>
        <v>1982840.73</v>
      </c>
      <c r="C19" s="32" t="n">
        <f aca="false">C18+(Engine!$B$42*(1+RateCard!$B$37)^INT((18-1)/12))</f>
        <v>2681217.00947843</v>
      </c>
      <c r="D19" s="1" t="n">
        <f aca="false">IF(B19&gt;=C19,1,0)</f>
        <v>0</v>
      </c>
    </row>
    <row r="20" customFormat="false" ht="15" hidden="false" customHeight="true" outlineLevel="0" collapsed="false">
      <c r="A20" s="1" t="n">
        <v>19</v>
      </c>
      <c r="B20" s="32" t="n">
        <f aca="false">B19+(Inputs!$B$4*Inputs!$B$13*(1+Inputs!$B$14)^INT((19-1)/12)+Inputs!$B$4*(1-Inputs!$B$13)*(1+RateCard!$B$37)^INT((19-1)/12))</f>
        <v>2103156.185</v>
      </c>
      <c r="C20" s="32" t="n">
        <f aca="false">C19+(Engine!$B$42*(1+RateCard!$B$37)^INT((19-1)/12))</f>
        <v>2697960.18281196</v>
      </c>
      <c r="D20" s="1" t="n">
        <f aca="false">IF(B20&gt;=C20,1,0)</f>
        <v>0</v>
      </c>
    </row>
    <row r="21" customFormat="false" ht="15" hidden="false" customHeight="true" outlineLevel="0" collapsed="false">
      <c r="A21" s="1" t="n">
        <v>20</v>
      </c>
      <c r="B21" s="32" t="n">
        <f aca="false">B20+(Inputs!$B$4*Inputs!$B$13*(1+Inputs!$B$14)^INT((20-1)/12)+Inputs!$B$4*(1-Inputs!$B$13)*(1+RateCard!$B$37)^INT((20-1)/12))</f>
        <v>2223471.64</v>
      </c>
      <c r="C21" s="32" t="n">
        <f aca="false">C20+(Engine!$B$42*(1+RateCard!$B$37)^INT((20-1)/12))</f>
        <v>2714703.35614549</v>
      </c>
      <c r="D21" s="1" t="n">
        <f aca="false">IF(B21&gt;=C21,1,0)</f>
        <v>0</v>
      </c>
    </row>
    <row r="22" customFormat="false" ht="15" hidden="false" customHeight="true" outlineLevel="0" collapsed="false">
      <c r="A22" s="1" t="n">
        <v>21</v>
      </c>
      <c r="B22" s="32" t="n">
        <f aca="false">B21+(Inputs!$B$4*Inputs!$B$13*(1+Inputs!$B$14)^INT((21-1)/12)+Inputs!$B$4*(1-Inputs!$B$13)*(1+RateCard!$B$37)^INT((21-1)/12))</f>
        <v>2343787.095</v>
      </c>
      <c r="C22" s="32" t="n">
        <f aca="false">C21+(Engine!$B$42*(1+RateCard!$B$37)^INT((21-1)/12))</f>
        <v>2731446.52947903</v>
      </c>
      <c r="D22" s="1" t="n">
        <f aca="false">IF(B22&gt;=C22,1,0)</f>
        <v>0</v>
      </c>
    </row>
    <row r="23" customFormat="false" ht="15" hidden="false" customHeight="true" outlineLevel="0" collapsed="false">
      <c r="A23" s="1" t="n">
        <v>22</v>
      </c>
      <c r="B23" s="32" t="n">
        <f aca="false">B22+(Inputs!$B$4*Inputs!$B$13*(1+Inputs!$B$14)^INT((22-1)/12)+Inputs!$B$4*(1-Inputs!$B$13)*(1+RateCard!$B$37)^INT((22-1)/12))</f>
        <v>2464102.55</v>
      </c>
      <c r="C23" s="32" t="n">
        <f aca="false">C22+(Engine!$B$42*(1+RateCard!$B$37)^INT((22-1)/12))</f>
        <v>2748189.70281256</v>
      </c>
      <c r="D23" s="1" t="n">
        <f aca="false">IF(B23&gt;=C23,1,0)</f>
        <v>0</v>
      </c>
    </row>
    <row r="24" customFormat="false" ht="15" hidden="false" customHeight="true" outlineLevel="0" collapsed="false">
      <c r="A24" s="1" t="n">
        <v>23</v>
      </c>
      <c r="B24" s="32" t="n">
        <f aca="false">B23+(Inputs!$B$4*Inputs!$B$13*(1+Inputs!$B$14)^INT((23-1)/12)+Inputs!$B$4*(1-Inputs!$B$13)*(1+RateCard!$B$37)^INT((23-1)/12))</f>
        <v>2584418.005</v>
      </c>
      <c r="C24" s="32" t="n">
        <f aca="false">C23+(Engine!$B$42*(1+RateCard!$B$37)^INT((23-1)/12))</f>
        <v>2764932.87614609</v>
      </c>
      <c r="D24" s="1" t="n">
        <f aca="false">IF(B24&gt;=C24,1,0)</f>
        <v>0</v>
      </c>
    </row>
    <row r="25" customFormat="false" ht="15" hidden="false" customHeight="true" outlineLevel="0" collapsed="false">
      <c r="A25" s="1" t="n">
        <v>24</v>
      </c>
      <c r="B25" s="32" t="n">
        <f aca="false">B24+(Inputs!$B$4*Inputs!$B$13*(1+Inputs!$B$14)^INT((24-1)/12)+Inputs!$B$4*(1-Inputs!$B$13)*(1+RateCard!$B$37)^INT((24-1)/12))</f>
        <v>2704733.46</v>
      </c>
      <c r="C25" s="32" t="n">
        <f aca="false">C24+(Engine!$B$42*(1+RateCard!$B$37)^INT((24-1)/12))</f>
        <v>2781676.04947962</v>
      </c>
      <c r="D25" s="1" t="n">
        <f aca="false">IF(B25&gt;=C25,1,0)</f>
        <v>0</v>
      </c>
    </row>
    <row r="26" customFormat="false" ht="15" hidden="false" customHeight="true" outlineLevel="0" collapsed="false">
      <c r="A26" s="1" t="n">
        <v>25</v>
      </c>
      <c r="B26" s="32" t="n">
        <f aca="false">B25+(Inputs!$B$4*Inputs!$B$13*(1+Inputs!$B$14)^INT((25-1)/12)+Inputs!$B$4*(1-Inputs!$B$13)*(1+RateCard!$B$37)^INT((25-1)/12))</f>
        <v>2843653.15195</v>
      </c>
      <c r="C26" s="32" t="n">
        <f aca="false">C25+(Engine!$B$42*(1+RateCard!$B$37)^INT((25-1)/12))</f>
        <v>2799088.94974649</v>
      </c>
      <c r="D26" s="1" t="n">
        <f aca="false">IF(B26&gt;=C26,1,0)</f>
        <v>1</v>
      </c>
    </row>
    <row r="27" customFormat="false" ht="15" hidden="false" customHeight="true" outlineLevel="0" collapsed="false">
      <c r="A27" s="1" t="n">
        <v>26</v>
      </c>
      <c r="B27" s="32" t="n">
        <f aca="false">B26+(Inputs!$B$4*Inputs!$B$13*(1+Inputs!$B$14)^INT((26-1)/12)+Inputs!$B$4*(1-Inputs!$B$13)*(1+RateCard!$B$37)^INT((26-1)/12))</f>
        <v>2982572.8439</v>
      </c>
      <c r="C27" s="32" t="n">
        <f aca="false">C26+(Engine!$B$42*(1+RateCard!$B$37)^INT((26-1)/12))</f>
        <v>2816501.85001336</v>
      </c>
      <c r="D27" s="1" t="n">
        <f aca="false">IF(B27&gt;=C27,1,0)</f>
        <v>1</v>
      </c>
    </row>
    <row r="28" customFormat="false" ht="15" hidden="false" customHeight="true" outlineLevel="0" collapsed="false">
      <c r="A28" s="1" t="n">
        <v>27</v>
      </c>
      <c r="B28" s="32" t="n">
        <f aca="false">B27+(Inputs!$B$4*Inputs!$B$13*(1+Inputs!$B$14)^INT((27-1)/12)+Inputs!$B$4*(1-Inputs!$B$13)*(1+RateCard!$B$37)^INT((27-1)/12))</f>
        <v>3121492.53585</v>
      </c>
      <c r="C28" s="32" t="n">
        <f aca="false">C27+(Engine!$B$42*(1+RateCard!$B$37)^INT((27-1)/12))</f>
        <v>2833914.75028023</v>
      </c>
      <c r="D28" s="1" t="n">
        <f aca="false">IF(B28&gt;=C28,1,0)</f>
        <v>1</v>
      </c>
    </row>
    <row r="29" customFormat="false" ht="15" hidden="false" customHeight="true" outlineLevel="0" collapsed="false">
      <c r="A29" s="1" t="n">
        <v>28</v>
      </c>
      <c r="B29" s="32" t="n">
        <f aca="false">B28+(Inputs!$B$4*Inputs!$B$13*(1+Inputs!$B$14)^INT((28-1)/12)+Inputs!$B$4*(1-Inputs!$B$13)*(1+RateCard!$B$37)^INT((28-1)/12))</f>
        <v>3260412.2278</v>
      </c>
      <c r="C29" s="32" t="n">
        <f aca="false">C28+(Engine!$B$42*(1+RateCard!$B$37)^INT((28-1)/12))</f>
        <v>2851327.65054711</v>
      </c>
      <c r="D29" s="1" t="n">
        <f aca="false">IF(B29&gt;=C29,1,0)</f>
        <v>1</v>
      </c>
    </row>
    <row r="30" customFormat="false" ht="15" hidden="false" customHeight="true" outlineLevel="0" collapsed="false">
      <c r="A30" s="1" t="n">
        <v>29</v>
      </c>
      <c r="B30" s="32" t="n">
        <f aca="false">B29+(Inputs!$B$4*Inputs!$B$13*(1+Inputs!$B$14)^INT((29-1)/12)+Inputs!$B$4*(1-Inputs!$B$13)*(1+RateCard!$B$37)^INT((29-1)/12))</f>
        <v>3399331.91975</v>
      </c>
      <c r="C30" s="32" t="n">
        <f aca="false">C29+(Engine!$B$42*(1+RateCard!$B$37)^INT((29-1)/12))</f>
        <v>2868740.55081398</v>
      </c>
      <c r="D30" s="1" t="n">
        <f aca="false">IF(B30&gt;=C30,1,0)</f>
        <v>1</v>
      </c>
    </row>
    <row r="31" customFormat="false" ht="15" hidden="false" customHeight="true" outlineLevel="0" collapsed="false">
      <c r="A31" s="1" t="n">
        <v>30</v>
      </c>
      <c r="B31" s="32" t="n">
        <f aca="false">B30+(Inputs!$B$4*Inputs!$B$13*(1+Inputs!$B$14)^INT((30-1)/12)+Inputs!$B$4*(1-Inputs!$B$13)*(1+RateCard!$B$37)^INT((30-1)/12))</f>
        <v>3538251.6117</v>
      </c>
      <c r="C31" s="32" t="n">
        <f aca="false">C30+(Engine!$B$42*(1+RateCard!$B$37)^INT((30-1)/12))</f>
        <v>2886153.45108085</v>
      </c>
      <c r="D31" s="1" t="n">
        <f aca="false">IF(B31&gt;=C31,1,0)</f>
        <v>1</v>
      </c>
    </row>
    <row r="32" customFormat="false" ht="15" hidden="false" customHeight="true" outlineLevel="0" collapsed="false">
      <c r="A32" s="1" t="n">
        <v>31</v>
      </c>
      <c r="B32" s="32" t="n">
        <f aca="false">B31+(Inputs!$B$4*Inputs!$B$13*(1+Inputs!$B$14)^INT((31-1)/12)+Inputs!$B$4*(1-Inputs!$B$13)*(1+RateCard!$B$37)^INT((31-1)/12))</f>
        <v>3677171.30365</v>
      </c>
      <c r="C32" s="32" t="n">
        <f aca="false">C31+(Engine!$B$42*(1+RateCard!$B$37)^INT((31-1)/12))</f>
        <v>2903566.35134772</v>
      </c>
      <c r="D32" s="1" t="n">
        <f aca="false">IF(B32&gt;=C32,1,0)</f>
        <v>1</v>
      </c>
    </row>
    <row r="33" customFormat="false" ht="15" hidden="false" customHeight="true" outlineLevel="0" collapsed="false">
      <c r="A33" s="1" t="n">
        <v>32</v>
      </c>
      <c r="B33" s="32" t="n">
        <f aca="false">B32+(Inputs!$B$4*Inputs!$B$13*(1+Inputs!$B$14)^INT((32-1)/12)+Inputs!$B$4*(1-Inputs!$B$13)*(1+RateCard!$B$37)^INT((32-1)/12))</f>
        <v>3816090.9956</v>
      </c>
      <c r="C33" s="32" t="n">
        <f aca="false">C32+(Engine!$B$42*(1+RateCard!$B$37)^INT((32-1)/12))</f>
        <v>2920979.2516146</v>
      </c>
      <c r="D33" s="1" t="n">
        <f aca="false">IF(B33&gt;=C33,1,0)</f>
        <v>1</v>
      </c>
    </row>
    <row r="34" customFormat="false" ht="15" hidden="false" customHeight="true" outlineLevel="0" collapsed="false">
      <c r="A34" s="1" t="n">
        <v>33</v>
      </c>
      <c r="B34" s="32" t="n">
        <f aca="false">B33+(Inputs!$B$4*Inputs!$B$13*(1+Inputs!$B$14)^INT((33-1)/12)+Inputs!$B$4*(1-Inputs!$B$13)*(1+RateCard!$B$37)^INT((33-1)/12))</f>
        <v>3955010.68755</v>
      </c>
      <c r="C34" s="32" t="n">
        <f aca="false">C33+(Engine!$B$42*(1+RateCard!$B$37)^INT((33-1)/12))</f>
        <v>2938392.15188147</v>
      </c>
      <c r="D34" s="1" t="n">
        <f aca="false">IF(B34&gt;=C34,1,0)</f>
        <v>1</v>
      </c>
    </row>
    <row r="35" customFormat="false" ht="15" hidden="false" customHeight="true" outlineLevel="0" collapsed="false">
      <c r="A35" s="1" t="n">
        <v>34</v>
      </c>
      <c r="B35" s="32" t="n">
        <f aca="false">B34+(Inputs!$B$4*Inputs!$B$13*(1+Inputs!$B$14)^INT((34-1)/12)+Inputs!$B$4*(1-Inputs!$B$13)*(1+RateCard!$B$37)^INT((34-1)/12))</f>
        <v>4093930.3795</v>
      </c>
      <c r="C35" s="32" t="n">
        <f aca="false">C34+(Engine!$B$42*(1+RateCard!$B$37)^INT((34-1)/12))</f>
        <v>2955805.05214834</v>
      </c>
      <c r="D35" s="1" t="n">
        <f aca="false">IF(B35&gt;=C35,1,0)</f>
        <v>1</v>
      </c>
    </row>
    <row r="36" customFormat="false" ht="15" hidden="false" customHeight="true" outlineLevel="0" collapsed="false">
      <c r="A36" s="1" t="n">
        <v>35</v>
      </c>
      <c r="B36" s="32" t="n">
        <f aca="false">B35+(Inputs!$B$4*Inputs!$B$13*(1+Inputs!$B$14)^INT((35-1)/12)+Inputs!$B$4*(1-Inputs!$B$13)*(1+RateCard!$B$37)^INT((35-1)/12))</f>
        <v>4232850.07145</v>
      </c>
      <c r="C36" s="32" t="n">
        <f aca="false">C35+(Engine!$B$42*(1+RateCard!$B$37)^INT((35-1)/12))</f>
        <v>2973217.95241521</v>
      </c>
      <c r="D36" s="1" t="n">
        <f aca="false">IF(B36&gt;=C36,1,0)</f>
        <v>1</v>
      </c>
    </row>
    <row r="37" customFormat="false" ht="15" hidden="false" customHeight="true" outlineLevel="0" collapsed="false">
      <c r="A37" s="1" t="n">
        <v>36</v>
      </c>
      <c r="B37" s="32" t="n">
        <f aca="false">B36+(Inputs!$B$4*Inputs!$B$13*(1+Inputs!$B$14)^INT((36-1)/12)+Inputs!$B$4*(1-Inputs!$B$13)*(1+RateCard!$B$37)^INT((36-1)/12))</f>
        <v>4371769.7634</v>
      </c>
      <c r="C37" s="32" t="n">
        <f aca="false">C36+(Engine!$B$42*(1+RateCard!$B$37)^INT((36-1)/12))</f>
        <v>2990630.85268208</v>
      </c>
      <c r="D37" s="1" t="n">
        <f aca="false">IF(B37&gt;=C37,1,0)</f>
        <v>1</v>
      </c>
    </row>
    <row r="38" customFormat="false" ht="15" hidden="false" customHeight="true" outlineLevel="0" collapsed="false">
      <c r="A38" s="1" t="n">
        <v>37</v>
      </c>
      <c r="B38" s="32" t="n">
        <f aca="false">B37+(Inputs!$B$4*Inputs!$B$13*(1+Inputs!$B$14)^INT((37-1)/12)+Inputs!$B$4*(1-Inputs!$B$13)*(1+RateCard!$B$37)^INT((37-1)/12))</f>
        <v>4533485.7664655</v>
      </c>
      <c r="C38" s="32" t="n">
        <f aca="false">C37+(Engine!$B$42*(1+RateCard!$B$37)^INT((37-1)/12))</f>
        <v>3008740.26895963</v>
      </c>
      <c r="D38" s="1" t="n">
        <f aca="false">IF(B38&gt;=C38,1,0)</f>
        <v>1</v>
      </c>
    </row>
    <row r="39" customFormat="false" ht="15" hidden="false" customHeight="true" outlineLevel="0" collapsed="false">
      <c r="A39" s="1" t="n">
        <v>38</v>
      </c>
      <c r="B39" s="32" t="n">
        <f aca="false">B38+(Inputs!$B$4*Inputs!$B$13*(1+Inputs!$B$14)^INT((38-1)/12)+Inputs!$B$4*(1-Inputs!$B$13)*(1+RateCard!$B$37)^INT((38-1)/12))</f>
        <v>4695201.769531</v>
      </c>
      <c r="C39" s="32" t="n">
        <f aca="false">C38+(Engine!$B$42*(1+RateCard!$B$37)^INT((38-1)/12))</f>
        <v>3026849.68523718</v>
      </c>
      <c r="D39" s="1" t="n">
        <f aca="false">IF(B39&gt;=C39,1,0)</f>
        <v>1</v>
      </c>
    </row>
    <row r="40" customFormat="false" ht="15" hidden="false" customHeight="true" outlineLevel="0" collapsed="false">
      <c r="A40" s="1" t="n">
        <v>39</v>
      </c>
      <c r="B40" s="32" t="n">
        <f aca="false">B39+(Inputs!$B$4*Inputs!$B$13*(1+Inputs!$B$14)^INT((39-1)/12)+Inputs!$B$4*(1-Inputs!$B$13)*(1+RateCard!$B$37)^INT((39-1)/12))</f>
        <v>4856917.7725965</v>
      </c>
      <c r="C40" s="32" t="n">
        <f aca="false">C39+(Engine!$B$42*(1+RateCard!$B$37)^INT((39-1)/12))</f>
        <v>3044959.10151473</v>
      </c>
      <c r="D40" s="1" t="n">
        <f aca="false">IF(B40&gt;=C40,1,0)</f>
        <v>1</v>
      </c>
    </row>
    <row r="41" customFormat="false" ht="15" hidden="false" customHeight="true" outlineLevel="0" collapsed="false">
      <c r="A41" s="1" t="n">
        <v>40</v>
      </c>
      <c r="B41" s="32" t="n">
        <f aca="false">B40+(Inputs!$B$4*Inputs!$B$13*(1+Inputs!$B$14)^INT((40-1)/12)+Inputs!$B$4*(1-Inputs!$B$13)*(1+RateCard!$B$37)^INT((40-1)/12))</f>
        <v>5018633.775662</v>
      </c>
      <c r="C41" s="32" t="n">
        <f aca="false">C40+(Engine!$B$42*(1+RateCard!$B$37)^INT((40-1)/12))</f>
        <v>3063068.51779227</v>
      </c>
      <c r="D41" s="1" t="n">
        <f aca="false">IF(B41&gt;=C41,1,0)</f>
        <v>1</v>
      </c>
    </row>
    <row r="42" customFormat="false" ht="15" hidden="false" customHeight="true" outlineLevel="0" collapsed="false">
      <c r="A42" s="1" t="n">
        <v>41</v>
      </c>
      <c r="B42" s="32" t="n">
        <f aca="false">B41+(Inputs!$B$4*Inputs!$B$13*(1+Inputs!$B$14)^INT((41-1)/12)+Inputs!$B$4*(1-Inputs!$B$13)*(1+RateCard!$B$37)^INT((41-1)/12))</f>
        <v>5180349.7787275</v>
      </c>
      <c r="C42" s="32" t="n">
        <f aca="false">C41+(Engine!$B$42*(1+RateCard!$B$37)^INT((41-1)/12))</f>
        <v>3081177.93406982</v>
      </c>
      <c r="D42" s="1" t="n">
        <f aca="false">IF(B42&gt;=C42,1,0)</f>
        <v>1</v>
      </c>
    </row>
    <row r="43" customFormat="false" ht="15" hidden="false" customHeight="true" outlineLevel="0" collapsed="false">
      <c r="A43" s="1" t="n">
        <v>42</v>
      </c>
      <c r="B43" s="32" t="n">
        <f aca="false">B42+(Inputs!$B$4*Inputs!$B$13*(1+Inputs!$B$14)^INT((42-1)/12)+Inputs!$B$4*(1-Inputs!$B$13)*(1+RateCard!$B$37)^INT((42-1)/12))</f>
        <v>5342065.781793</v>
      </c>
      <c r="C43" s="32" t="n">
        <f aca="false">C42+(Engine!$B$42*(1+RateCard!$B$37)^INT((42-1)/12))</f>
        <v>3099287.35034737</v>
      </c>
      <c r="D43" s="1" t="n">
        <f aca="false">IF(B43&gt;=C43,1,0)</f>
        <v>1</v>
      </c>
    </row>
    <row r="44" customFormat="false" ht="15" hidden="false" customHeight="true" outlineLevel="0" collapsed="false">
      <c r="A44" s="1" t="n">
        <v>43</v>
      </c>
      <c r="B44" s="32" t="n">
        <f aca="false">B43+(Inputs!$B$4*Inputs!$B$13*(1+Inputs!$B$14)^INT((43-1)/12)+Inputs!$B$4*(1-Inputs!$B$13)*(1+RateCard!$B$37)^INT((43-1)/12))</f>
        <v>5503781.7848585</v>
      </c>
      <c r="C44" s="32" t="n">
        <f aca="false">C43+(Engine!$B$42*(1+RateCard!$B$37)^INT((43-1)/12))</f>
        <v>3117396.76662491</v>
      </c>
      <c r="D44" s="1" t="n">
        <f aca="false">IF(B44&gt;=C44,1,0)</f>
        <v>1</v>
      </c>
    </row>
    <row r="45" customFormat="false" ht="15" hidden="false" customHeight="true" outlineLevel="0" collapsed="false">
      <c r="A45" s="1" t="n">
        <v>44</v>
      </c>
      <c r="B45" s="32" t="n">
        <f aca="false">B44+(Inputs!$B$4*Inputs!$B$13*(1+Inputs!$B$14)^INT((44-1)/12)+Inputs!$B$4*(1-Inputs!$B$13)*(1+RateCard!$B$37)^INT((44-1)/12))</f>
        <v>5665497.787924</v>
      </c>
      <c r="C45" s="32" t="n">
        <f aca="false">C44+(Engine!$B$42*(1+RateCard!$B$37)^INT((44-1)/12))</f>
        <v>3135506.18290246</v>
      </c>
      <c r="D45" s="1" t="n">
        <f aca="false">IF(B45&gt;=C45,1,0)</f>
        <v>1</v>
      </c>
    </row>
    <row r="46" customFormat="false" ht="15" hidden="false" customHeight="true" outlineLevel="0" collapsed="false">
      <c r="A46" s="1" t="n">
        <v>45</v>
      </c>
      <c r="B46" s="32" t="n">
        <f aca="false">B45+(Inputs!$B$4*Inputs!$B$13*(1+Inputs!$B$14)^INT((45-1)/12)+Inputs!$B$4*(1-Inputs!$B$13)*(1+RateCard!$B$37)^INT((45-1)/12))</f>
        <v>5827213.7909895</v>
      </c>
      <c r="C46" s="32" t="n">
        <f aca="false">C45+(Engine!$B$42*(1+RateCard!$B$37)^INT((45-1)/12))</f>
        <v>3153615.59918001</v>
      </c>
      <c r="D46" s="1" t="n">
        <f aca="false">IF(B46&gt;=C46,1,0)</f>
        <v>1</v>
      </c>
    </row>
    <row r="47" customFormat="false" ht="15" hidden="false" customHeight="true" outlineLevel="0" collapsed="false">
      <c r="A47" s="1" t="n">
        <v>46</v>
      </c>
      <c r="B47" s="32" t="n">
        <f aca="false">B46+(Inputs!$B$4*Inputs!$B$13*(1+Inputs!$B$14)^INT((46-1)/12)+Inputs!$B$4*(1-Inputs!$B$13)*(1+RateCard!$B$37)^INT((46-1)/12))</f>
        <v>5988929.794055</v>
      </c>
      <c r="C47" s="32" t="n">
        <f aca="false">C46+(Engine!$B$42*(1+RateCard!$B$37)^INT((46-1)/12))</f>
        <v>3171725.01545755</v>
      </c>
      <c r="D47" s="1" t="n">
        <f aca="false">IF(B47&gt;=C47,1,0)</f>
        <v>1</v>
      </c>
    </row>
    <row r="48" customFormat="false" ht="15" hidden="false" customHeight="true" outlineLevel="0" collapsed="false">
      <c r="A48" s="1" t="n">
        <v>47</v>
      </c>
      <c r="B48" s="32" t="n">
        <f aca="false">B47+(Inputs!$B$4*Inputs!$B$13*(1+Inputs!$B$14)^INT((47-1)/12)+Inputs!$B$4*(1-Inputs!$B$13)*(1+RateCard!$B$37)^INT((47-1)/12))</f>
        <v>6150645.7971205</v>
      </c>
      <c r="C48" s="32" t="n">
        <f aca="false">C47+(Engine!$B$42*(1+RateCard!$B$37)^INT((47-1)/12))</f>
        <v>3189834.4317351</v>
      </c>
      <c r="D48" s="1" t="n">
        <f aca="false">IF(B48&gt;=C48,1,0)</f>
        <v>1</v>
      </c>
    </row>
    <row r="49" customFormat="false" ht="15" hidden="false" customHeight="true" outlineLevel="0" collapsed="false">
      <c r="A49" s="1" t="n">
        <v>48</v>
      </c>
      <c r="B49" s="32" t="n">
        <f aca="false">B48+(Inputs!$B$4*Inputs!$B$13*(1+Inputs!$B$14)^INT((48-1)/12)+Inputs!$B$4*(1-Inputs!$B$13)*(1+RateCard!$B$37)^INT((48-1)/12))</f>
        <v>6312361.800186</v>
      </c>
      <c r="C49" s="32" t="n">
        <f aca="false">C48+(Engine!$B$42*(1+RateCard!$B$37)^INT((48-1)/12))</f>
        <v>3207943.84801265</v>
      </c>
      <c r="D49" s="1" t="n">
        <f aca="false">IF(B49&gt;=C49,1,0)</f>
        <v>1</v>
      </c>
    </row>
    <row r="50" customFormat="false" ht="15" hidden="false" customHeight="true" outlineLevel="0" collapsed="false">
      <c r="A50" s="1" t="n">
        <v>49</v>
      </c>
      <c r="B50" s="32" t="n">
        <f aca="false">B49+(Inputs!$B$4*Inputs!$B$13*(1+Inputs!$B$14)^INT((49-1)/12)+Inputs!$B$4*(1-Inputs!$B$13)*(1+RateCard!$B$37)^INT((49-1)/12))</f>
        <v>6502095.847671</v>
      </c>
      <c r="C50" s="32" t="n">
        <f aca="false">C49+(Engine!$B$42*(1+RateCard!$B$37)^INT((49-1)/12))</f>
        <v>3226777.6409413</v>
      </c>
      <c r="D50" s="1" t="n">
        <f aca="false">IF(B50&gt;=C50,1,0)</f>
        <v>1</v>
      </c>
    </row>
    <row r="51" customFormat="false" ht="15" hidden="false" customHeight="true" outlineLevel="0" collapsed="false">
      <c r="A51" s="1" t="n">
        <v>50</v>
      </c>
      <c r="B51" s="32" t="n">
        <f aca="false">B50+(Inputs!$B$4*Inputs!$B$13*(1+Inputs!$B$14)^INT((50-1)/12)+Inputs!$B$4*(1-Inputs!$B$13)*(1+RateCard!$B$37)^INT((50-1)/12))</f>
        <v>6691829.89515599</v>
      </c>
      <c r="C51" s="32" t="n">
        <f aca="false">C50+(Engine!$B$42*(1+RateCard!$B$37)^INT((50-1)/12))</f>
        <v>3245611.43386994</v>
      </c>
      <c r="D51" s="1" t="n">
        <f aca="false">IF(B51&gt;=C51,1,0)</f>
        <v>1</v>
      </c>
    </row>
    <row r="52" customFormat="false" ht="15" hidden="false" customHeight="true" outlineLevel="0" collapsed="false">
      <c r="A52" s="1" t="n">
        <v>51</v>
      </c>
      <c r="B52" s="32" t="n">
        <f aca="false">B51+(Inputs!$B$4*Inputs!$B$13*(1+Inputs!$B$14)^INT((51-1)/12)+Inputs!$B$4*(1-Inputs!$B$13)*(1+RateCard!$B$37)^INT((51-1)/12))</f>
        <v>6881563.94264099</v>
      </c>
      <c r="C52" s="32" t="n">
        <f aca="false">C51+(Engine!$B$42*(1+RateCard!$B$37)^INT((51-1)/12))</f>
        <v>3264445.22679859</v>
      </c>
      <c r="D52" s="1" t="n">
        <f aca="false">IF(B52&gt;=C52,1,0)</f>
        <v>1</v>
      </c>
    </row>
    <row r="53" customFormat="false" ht="15" hidden="false" customHeight="true" outlineLevel="0" collapsed="false">
      <c r="A53" s="1" t="n">
        <v>52</v>
      </c>
      <c r="B53" s="32" t="n">
        <f aca="false">B52+(Inputs!$B$4*Inputs!$B$13*(1+Inputs!$B$14)^INT((52-1)/12)+Inputs!$B$4*(1-Inputs!$B$13)*(1+RateCard!$B$37)^INT((52-1)/12))</f>
        <v>7071297.99012598</v>
      </c>
      <c r="C53" s="32" t="n">
        <f aca="false">C52+(Engine!$B$42*(1+RateCard!$B$37)^INT((52-1)/12))</f>
        <v>3283279.01972724</v>
      </c>
      <c r="D53" s="1" t="n">
        <f aca="false">IF(B53&gt;=C53,1,0)</f>
        <v>1</v>
      </c>
    </row>
    <row r="54" customFormat="false" ht="15" hidden="false" customHeight="true" outlineLevel="0" collapsed="false">
      <c r="A54" s="1" t="n">
        <v>53</v>
      </c>
      <c r="B54" s="32" t="n">
        <f aca="false">B53+(Inputs!$B$4*Inputs!$B$13*(1+Inputs!$B$14)^INT((53-1)/12)+Inputs!$B$4*(1-Inputs!$B$13)*(1+RateCard!$B$37)^INT((53-1)/12))</f>
        <v>7261032.03761098</v>
      </c>
      <c r="C54" s="32" t="n">
        <f aca="false">C53+(Engine!$B$42*(1+RateCard!$B$37)^INT((53-1)/12))</f>
        <v>3302112.81265589</v>
      </c>
      <c r="D54" s="1" t="n">
        <f aca="false">IF(B54&gt;=C54,1,0)</f>
        <v>1</v>
      </c>
    </row>
    <row r="55" customFormat="false" ht="15" hidden="false" customHeight="true" outlineLevel="0" collapsed="false">
      <c r="A55" s="1" t="n">
        <v>54</v>
      </c>
      <c r="B55" s="32" t="n">
        <f aca="false">B54+(Inputs!$B$4*Inputs!$B$13*(1+Inputs!$B$14)^INT((54-1)/12)+Inputs!$B$4*(1-Inputs!$B$13)*(1+RateCard!$B$37)^INT((54-1)/12))</f>
        <v>7450766.08509597</v>
      </c>
      <c r="C55" s="32" t="n">
        <f aca="false">C54+(Engine!$B$42*(1+RateCard!$B$37)^INT((54-1)/12))</f>
        <v>3320946.60558454</v>
      </c>
      <c r="D55" s="1" t="n">
        <f aca="false">IF(B55&gt;=C55,1,0)</f>
        <v>1</v>
      </c>
    </row>
    <row r="56" customFormat="false" ht="15" hidden="false" customHeight="true" outlineLevel="0" collapsed="false">
      <c r="A56" s="1" t="n">
        <v>55</v>
      </c>
      <c r="B56" s="32" t="n">
        <f aca="false">B55+(Inputs!$B$4*Inputs!$B$13*(1+Inputs!$B$14)^INT((55-1)/12)+Inputs!$B$4*(1-Inputs!$B$13)*(1+RateCard!$B$37)^INT((55-1)/12))</f>
        <v>7640500.13258097</v>
      </c>
      <c r="C56" s="32" t="n">
        <f aca="false">C55+(Engine!$B$42*(1+RateCard!$B$37)^INT((55-1)/12))</f>
        <v>3339780.39851319</v>
      </c>
      <c r="D56" s="1" t="n">
        <f aca="false">IF(B56&gt;=C56,1,0)</f>
        <v>1</v>
      </c>
    </row>
    <row r="57" customFormat="false" ht="15" hidden="false" customHeight="true" outlineLevel="0" collapsed="false">
      <c r="A57" s="1" t="n">
        <v>56</v>
      </c>
      <c r="B57" s="32" t="n">
        <f aca="false">B56+(Inputs!$B$4*Inputs!$B$13*(1+Inputs!$B$14)^INT((56-1)/12)+Inputs!$B$4*(1-Inputs!$B$13)*(1+RateCard!$B$37)^INT((56-1)/12))</f>
        <v>7830234.18006596</v>
      </c>
      <c r="C57" s="32" t="n">
        <f aca="false">C56+(Engine!$B$42*(1+RateCard!$B$37)^INT((56-1)/12))</f>
        <v>3358614.19144184</v>
      </c>
      <c r="D57" s="1" t="n">
        <f aca="false">IF(B57&gt;=C57,1,0)</f>
        <v>1</v>
      </c>
    </row>
    <row r="58" customFormat="false" ht="15" hidden="false" customHeight="true" outlineLevel="0" collapsed="false">
      <c r="A58" s="1" t="n">
        <v>57</v>
      </c>
      <c r="B58" s="32" t="n">
        <f aca="false">B57+(Inputs!$B$4*Inputs!$B$13*(1+Inputs!$B$14)^INT((57-1)/12)+Inputs!$B$4*(1-Inputs!$B$13)*(1+RateCard!$B$37)^INT((57-1)/12))</f>
        <v>8019968.22755096</v>
      </c>
      <c r="C58" s="32" t="n">
        <f aca="false">C57+(Engine!$B$42*(1+RateCard!$B$37)^INT((57-1)/12))</f>
        <v>3377447.98437049</v>
      </c>
      <c r="D58" s="1" t="n">
        <f aca="false">IF(B58&gt;=C58,1,0)</f>
        <v>1</v>
      </c>
    </row>
    <row r="59" customFormat="false" ht="15" hidden="false" customHeight="true" outlineLevel="0" collapsed="false">
      <c r="A59" s="1" t="n">
        <v>58</v>
      </c>
      <c r="B59" s="32" t="n">
        <f aca="false">B58+(Inputs!$B$4*Inputs!$B$13*(1+Inputs!$B$14)^INT((58-1)/12)+Inputs!$B$4*(1-Inputs!$B$13)*(1+RateCard!$B$37)^INT((58-1)/12))</f>
        <v>8209702.27503595</v>
      </c>
      <c r="C59" s="32" t="n">
        <f aca="false">C58+(Engine!$B$42*(1+RateCard!$B$37)^INT((58-1)/12))</f>
        <v>3396281.77729913</v>
      </c>
      <c r="D59" s="1" t="n">
        <f aca="false">IF(B59&gt;=C59,1,0)</f>
        <v>1</v>
      </c>
    </row>
    <row r="60" customFormat="false" ht="15" hidden="false" customHeight="true" outlineLevel="0" collapsed="false">
      <c r="A60" s="1" t="n">
        <v>59</v>
      </c>
      <c r="B60" s="32" t="n">
        <f aca="false">B59+(Inputs!$B$4*Inputs!$B$13*(1+Inputs!$B$14)^INT((59-1)/12)+Inputs!$B$4*(1-Inputs!$B$13)*(1+RateCard!$B$37)^INT((59-1)/12))</f>
        <v>8399436.32252095</v>
      </c>
      <c r="C60" s="32" t="n">
        <f aca="false">C59+(Engine!$B$42*(1+RateCard!$B$37)^INT((59-1)/12))</f>
        <v>3415115.57022778</v>
      </c>
      <c r="D60" s="1" t="n">
        <f aca="false">IF(B60&gt;=C60,1,0)</f>
        <v>1</v>
      </c>
    </row>
    <row r="61" customFormat="false" ht="15" hidden="false" customHeight="true" outlineLevel="0" collapsed="false">
      <c r="A61" s="1" t="n">
        <v>60</v>
      </c>
      <c r="B61" s="32" t="n">
        <f aca="false">B60+(Inputs!$B$4*Inputs!$B$13*(1+Inputs!$B$14)^INT((60-1)/12)+Inputs!$B$4*(1-Inputs!$B$13)*(1+RateCard!$B$37)^INT((60-1)/12))</f>
        <v>8589170.37000595</v>
      </c>
      <c r="C61" s="32" t="n">
        <f aca="false">C60+(Engine!$B$42*(1+RateCard!$B$37)^INT((60-1)/12))</f>
        <v>3433949.36315643</v>
      </c>
      <c r="D61" s="1" t="n">
        <f aca="false">IF(B61&gt;=C61,1,0)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2026-08-05T13:27:43Z</dcterms:created>
  <dc:creator>openpyxl</dc:creator>
  <dc:description/>
  <dc:language>en-US</dc:language>
  <cp:lastModifiedBy/>
  <dcterms:modified xsi:type="dcterms:W3CDTF">2026-08-07T17:48:42Z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